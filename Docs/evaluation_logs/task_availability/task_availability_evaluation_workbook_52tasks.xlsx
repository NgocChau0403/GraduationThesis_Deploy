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-Graduation_Thesis-Import-pipeline\Docs\evaluation_logs\task_availability\"/>
    </mc:Choice>
  </mc:AlternateContent>
  <xr:revisionPtr revIDLastSave="0" documentId="13_ncr:1_{6EB54D3B-376C-42AD-A1C7-27139531A34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Ground Truth" sheetId="1" r:id="rId1"/>
    <sheet name="Machine Results" sheetId="2" r:id="rId2"/>
    <sheet name="Capability Check" sheetId="3" r:id="rId3"/>
    <sheet name="Evaluation Summary" sheetId="4" r:id="rId4"/>
    <sheet name="README" sheetId="5" r:id="rId5"/>
  </sheets>
  <definedNames>
    <definedName name="_xlnm._FilterDatabase" localSheetId="2" hidden="1">'Capability Check'!$A$1:$I$38</definedName>
    <definedName name="_xlnm._FilterDatabase" localSheetId="0" hidden="1">'Ground Truth'!$A$1:$H$105</definedName>
    <definedName name="_xlnm._FilterDatabase" localSheetId="1" hidden="1">'Machine Results'!$A$1:$V$105</definedName>
  </definedNames>
  <calcPr calcId="191029" forceFullCalc="1"/>
</workbook>
</file>

<file path=xl/calcChain.xml><?xml version="1.0" encoding="utf-8"?>
<calcChain xmlns="http://schemas.openxmlformats.org/spreadsheetml/2006/main">
  <c r="F21" i="4" l="1"/>
  <c r="E21" i="4"/>
  <c r="D21" i="4"/>
  <c r="C21" i="4"/>
  <c r="B21" i="4"/>
  <c r="F20" i="4"/>
  <c r="E20" i="4"/>
  <c r="D20" i="4"/>
  <c r="C20" i="4"/>
  <c r="B20" i="4"/>
  <c r="B5" i="4"/>
  <c r="S105" i="2"/>
  <c r="T105" i="2" s="1"/>
  <c r="R105" i="2"/>
  <c r="W105" i="2" s="1"/>
  <c r="S104" i="2"/>
  <c r="T104" i="2" s="1"/>
  <c r="R104" i="2"/>
  <c r="W104" i="2" s="1"/>
  <c r="S103" i="2"/>
  <c r="T103" i="2" s="1"/>
  <c r="R103" i="2"/>
  <c r="W103" i="2" s="1"/>
  <c r="S102" i="2"/>
  <c r="T102" i="2" s="1"/>
  <c r="R102" i="2"/>
  <c r="V102" i="2" s="1"/>
  <c r="S101" i="2"/>
  <c r="T101" i="2" s="1"/>
  <c r="R101" i="2"/>
  <c r="W101" i="2" s="1"/>
  <c r="S100" i="2"/>
  <c r="T100" i="2" s="1"/>
  <c r="R100" i="2"/>
  <c r="W100" i="2" s="1"/>
  <c r="S99" i="2"/>
  <c r="T99" i="2" s="1"/>
  <c r="R99" i="2"/>
  <c r="U99" i="2" s="1"/>
  <c r="S98" i="2"/>
  <c r="T98" i="2" s="1"/>
  <c r="R98" i="2"/>
  <c r="W98" i="2" s="1"/>
  <c r="S97" i="2"/>
  <c r="T97" i="2" s="1"/>
  <c r="R97" i="2"/>
  <c r="W97" i="2" s="1"/>
  <c r="S96" i="2"/>
  <c r="T96" i="2" s="1"/>
  <c r="R96" i="2"/>
  <c r="W96" i="2" s="1"/>
  <c r="S95" i="2"/>
  <c r="T95" i="2" s="1"/>
  <c r="R95" i="2"/>
  <c r="U95" i="2" s="1"/>
  <c r="S94" i="2"/>
  <c r="T94" i="2" s="1"/>
  <c r="R94" i="2"/>
  <c r="U94" i="2" s="1"/>
  <c r="S93" i="2"/>
  <c r="T93" i="2" s="1"/>
  <c r="R93" i="2"/>
  <c r="W93" i="2" s="1"/>
  <c r="S92" i="2"/>
  <c r="T92" i="2" s="1"/>
  <c r="R92" i="2"/>
  <c r="W92" i="2" s="1"/>
  <c r="S91" i="2"/>
  <c r="T91" i="2" s="1"/>
  <c r="R91" i="2"/>
  <c r="U91" i="2" s="1"/>
  <c r="S90" i="2"/>
  <c r="T90" i="2" s="1"/>
  <c r="R90" i="2"/>
  <c r="W90" i="2" s="1"/>
  <c r="S89" i="2"/>
  <c r="T89" i="2" s="1"/>
  <c r="R89" i="2"/>
  <c r="W89" i="2" s="1"/>
  <c r="S88" i="2"/>
  <c r="T88" i="2" s="1"/>
  <c r="R88" i="2"/>
  <c r="W88" i="2" s="1"/>
  <c r="S87" i="2"/>
  <c r="T87" i="2" s="1"/>
  <c r="R87" i="2"/>
  <c r="U87" i="2" s="1"/>
  <c r="S86" i="2"/>
  <c r="T86" i="2" s="1"/>
  <c r="R86" i="2"/>
  <c r="U86" i="2" s="1"/>
  <c r="S85" i="2"/>
  <c r="T85" i="2" s="1"/>
  <c r="R85" i="2"/>
  <c r="W85" i="2" s="1"/>
  <c r="S84" i="2"/>
  <c r="T84" i="2" s="1"/>
  <c r="R84" i="2"/>
  <c r="W84" i="2" s="1"/>
  <c r="S83" i="2"/>
  <c r="T83" i="2" s="1"/>
  <c r="R83" i="2"/>
  <c r="U83" i="2" s="1"/>
  <c r="S82" i="2"/>
  <c r="T82" i="2" s="1"/>
  <c r="R82" i="2"/>
  <c r="W82" i="2" s="1"/>
  <c r="S81" i="2"/>
  <c r="T81" i="2" s="1"/>
  <c r="R81" i="2"/>
  <c r="W81" i="2" s="1"/>
  <c r="S80" i="2"/>
  <c r="T80" i="2" s="1"/>
  <c r="R80" i="2"/>
  <c r="W80" i="2" s="1"/>
  <c r="S79" i="2"/>
  <c r="T79" i="2" s="1"/>
  <c r="R79" i="2"/>
  <c r="U79" i="2" s="1"/>
  <c r="S78" i="2"/>
  <c r="T78" i="2" s="1"/>
  <c r="R78" i="2"/>
  <c r="W78" i="2" s="1"/>
  <c r="S77" i="2"/>
  <c r="T77" i="2" s="1"/>
  <c r="R77" i="2"/>
  <c r="W77" i="2" s="1"/>
  <c r="S76" i="2"/>
  <c r="T76" i="2" s="1"/>
  <c r="R76" i="2"/>
  <c r="W76" i="2" s="1"/>
  <c r="S75" i="2"/>
  <c r="T75" i="2" s="1"/>
  <c r="R75" i="2"/>
  <c r="U75" i="2" s="1"/>
  <c r="S74" i="2"/>
  <c r="T74" i="2" s="1"/>
  <c r="R74" i="2"/>
  <c r="W74" i="2" s="1"/>
  <c r="S73" i="2"/>
  <c r="T73" i="2" s="1"/>
  <c r="R73" i="2"/>
  <c r="W73" i="2" s="1"/>
  <c r="S72" i="2"/>
  <c r="T72" i="2" s="1"/>
  <c r="R72" i="2"/>
  <c r="W72" i="2" s="1"/>
  <c r="S71" i="2"/>
  <c r="T71" i="2" s="1"/>
  <c r="R71" i="2"/>
  <c r="U71" i="2" s="1"/>
  <c r="S70" i="2"/>
  <c r="T70" i="2" s="1"/>
  <c r="R70" i="2"/>
  <c r="V70" i="2" s="1"/>
  <c r="S69" i="2"/>
  <c r="T69" i="2" s="1"/>
  <c r="R69" i="2"/>
  <c r="W69" i="2" s="1"/>
  <c r="S68" i="2"/>
  <c r="T68" i="2" s="1"/>
  <c r="R68" i="2"/>
  <c r="W68" i="2" s="1"/>
  <c r="S67" i="2"/>
  <c r="T67" i="2" s="1"/>
  <c r="R67" i="2"/>
  <c r="U67" i="2" s="1"/>
  <c r="S66" i="2"/>
  <c r="T66" i="2" s="1"/>
  <c r="R66" i="2"/>
  <c r="W66" i="2" s="1"/>
  <c r="S65" i="2"/>
  <c r="T65" i="2" s="1"/>
  <c r="R65" i="2"/>
  <c r="W65" i="2" s="1"/>
  <c r="S64" i="2"/>
  <c r="T64" i="2" s="1"/>
  <c r="R64" i="2"/>
  <c r="W64" i="2" s="1"/>
  <c r="S63" i="2"/>
  <c r="T63" i="2" s="1"/>
  <c r="R63" i="2"/>
  <c r="U63" i="2" s="1"/>
  <c r="S62" i="2"/>
  <c r="T62" i="2" s="1"/>
  <c r="R62" i="2"/>
  <c r="W62" i="2" s="1"/>
  <c r="S61" i="2"/>
  <c r="T61" i="2" s="1"/>
  <c r="R61" i="2"/>
  <c r="W61" i="2" s="1"/>
  <c r="S60" i="2"/>
  <c r="T60" i="2" s="1"/>
  <c r="R60" i="2"/>
  <c r="W60" i="2" s="1"/>
  <c r="S59" i="2"/>
  <c r="T59" i="2" s="1"/>
  <c r="R59" i="2"/>
  <c r="U59" i="2" s="1"/>
  <c r="S58" i="2"/>
  <c r="T58" i="2" s="1"/>
  <c r="R58" i="2"/>
  <c r="U58" i="2" s="1"/>
  <c r="S57" i="2"/>
  <c r="T57" i="2" s="1"/>
  <c r="R57" i="2"/>
  <c r="W57" i="2" s="1"/>
  <c r="S56" i="2"/>
  <c r="T56" i="2" s="1"/>
  <c r="R56" i="2"/>
  <c r="W56" i="2" s="1"/>
  <c r="S55" i="2"/>
  <c r="T55" i="2" s="1"/>
  <c r="R55" i="2"/>
  <c r="U55" i="2" s="1"/>
  <c r="S54" i="2"/>
  <c r="T54" i="2" s="1"/>
  <c r="R54" i="2"/>
  <c r="V54" i="2" s="1"/>
  <c r="S53" i="2"/>
  <c r="T53" i="2" s="1"/>
  <c r="R53" i="2"/>
  <c r="W53" i="2" s="1"/>
  <c r="S52" i="2"/>
  <c r="T52" i="2" s="1"/>
  <c r="R52" i="2"/>
  <c r="W52" i="2" s="1"/>
  <c r="S51" i="2"/>
  <c r="T51" i="2" s="1"/>
  <c r="R51" i="2"/>
  <c r="U51" i="2" s="1"/>
  <c r="S50" i="2"/>
  <c r="T50" i="2" s="1"/>
  <c r="R50" i="2"/>
  <c r="W50" i="2" s="1"/>
  <c r="S49" i="2"/>
  <c r="T49" i="2" s="1"/>
  <c r="R49" i="2"/>
  <c r="W49" i="2" s="1"/>
  <c r="S48" i="2"/>
  <c r="T48" i="2" s="1"/>
  <c r="R48" i="2"/>
  <c r="W48" i="2" s="1"/>
  <c r="S47" i="2"/>
  <c r="T47" i="2" s="1"/>
  <c r="R47" i="2"/>
  <c r="U47" i="2" s="1"/>
  <c r="S46" i="2"/>
  <c r="T46" i="2" s="1"/>
  <c r="R46" i="2"/>
  <c r="W46" i="2" s="1"/>
  <c r="S45" i="2"/>
  <c r="T45" i="2" s="1"/>
  <c r="R45" i="2"/>
  <c r="W45" i="2" s="1"/>
  <c r="S44" i="2"/>
  <c r="T44" i="2" s="1"/>
  <c r="R44" i="2"/>
  <c r="W44" i="2" s="1"/>
  <c r="S43" i="2"/>
  <c r="T43" i="2" s="1"/>
  <c r="R43" i="2"/>
  <c r="U43" i="2" s="1"/>
  <c r="S42" i="2"/>
  <c r="T42" i="2" s="1"/>
  <c r="R42" i="2"/>
  <c r="W42" i="2" s="1"/>
  <c r="S41" i="2"/>
  <c r="T41" i="2" s="1"/>
  <c r="R41" i="2"/>
  <c r="W41" i="2" s="1"/>
  <c r="S40" i="2"/>
  <c r="T40" i="2" s="1"/>
  <c r="R40" i="2"/>
  <c r="W40" i="2" s="1"/>
  <c r="S39" i="2"/>
  <c r="T39" i="2" s="1"/>
  <c r="R39" i="2"/>
  <c r="U39" i="2" s="1"/>
  <c r="S38" i="2"/>
  <c r="T38" i="2" s="1"/>
  <c r="R38" i="2"/>
  <c r="V38" i="2" s="1"/>
  <c r="S37" i="2"/>
  <c r="T37" i="2" s="1"/>
  <c r="R37" i="2"/>
  <c r="W37" i="2" s="1"/>
  <c r="S36" i="2"/>
  <c r="T36" i="2" s="1"/>
  <c r="R36" i="2"/>
  <c r="W36" i="2" s="1"/>
  <c r="S35" i="2"/>
  <c r="T35" i="2" s="1"/>
  <c r="R35" i="2"/>
  <c r="U35" i="2" s="1"/>
  <c r="S34" i="2"/>
  <c r="T34" i="2" s="1"/>
  <c r="R34" i="2"/>
  <c r="W34" i="2" s="1"/>
  <c r="S33" i="2"/>
  <c r="T33" i="2" s="1"/>
  <c r="R33" i="2"/>
  <c r="W33" i="2" s="1"/>
  <c r="S32" i="2"/>
  <c r="T32" i="2" s="1"/>
  <c r="R32" i="2"/>
  <c r="W32" i="2" s="1"/>
  <c r="S31" i="2"/>
  <c r="T31" i="2" s="1"/>
  <c r="R31" i="2"/>
  <c r="U31" i="2" s="1"/>
  <c r="S30" i="2"/>
  <c r="T30" i="2" s="1"/>
  <c r="R30" i="2"/>
  <c r="U30" i="2" s="1"/>
  <c r="S29" i="2"/>
  <c r="T29" i="2" s="1"/>
  <c r="R29" i="2"/>
  <c r="W29" i="2" s="1"/>
  <c r="S28" i="2"/>
  <c r="T28" i="2" s="1"/>
  <c r="R28" i="2"/>
  <c r="W28" i="2" s="1"/>
  <c r="S27" i="2"/>
  <c r="T27" i="2" s="1"/>
  <c r="R27" i="2"/>
  <c r="U27" i="2" s="1"/>
  <c r="S26" i="2"/>
  <c r="T26" i="2" s="1"/>
  <c r="R26" i="2"/>
  <c r="W26" i="2" s="1"/>
  <c r="S25" i="2"/>
  <c r="T25" i="2" s="1"/>
  <c r="R25" i="2"/>
  <c r="W25" i="2" s="1"/>
  <c r="S24" i="2"/>
  <c r="T24" i="2" s="1"/>
  <c r="R24" i="2"/>
  <c r="W24" i="2" s="1"/>
  <c r="S23" i="2"/>
  <c r="T23" i="2" s="1"/>
  <c r="R23" i="2"/>
  <c r="U23" i="2" s="1"/>
  <c r="S22" i="2"/>
  <c r="T22" i="2" s="1"/>
  <c r="R22" i="2"/>
  <c r="U22" i="2" s="1"/>
  <c r="S21" i="2"/>
  <c r="T21" i="2" s="1"/>
  <c r="R21" i="2"/>
  <c r="W21" i="2" s="1"/>
  <c r="S20" i="2"/>
  <c r="T20" i="2" s="1"/>
  <c r="R20" i="2"/>
  <c r="W20" i="2" s="1"/>
  <c r="S19" i="2"/>
  <c r="T19" i="2" s="1"/>
  <c r="R19" i="2"/>
  <c r="U19" i="2" s="1"/>
  <c r="S18" i="2"/>
  <c r="T18" i="2" s="1"/>
  <c r="R18" i="2"/>
  <c r="W18" i="2" s="1"/>
  <c r="S17" i="2"/>
  <c r="T17" i="2" s="1"/>
  <c r="R17" i="2"/>
  <c r="W17" i="2" s="1"/>
  <c r="S16" i="2"/>
  <c r="T16" i="2" s="1"/>
  <c r="R16" i="2"/>
  <c r="W16" i="2" s="1"/>
  <c r="S15" i="2"/>
  <c r="T15" i="2" s="1"/>
  <c r="R15" i="2"/>
  <c r="U15" i="2" s="1"/>
  <c r="S14" i="2"/>
  <c r="T14" i="2" s="1"/>
  <c r="R14" i="2"/>
  <c r="W14" i="2" s="1"/>
  <c r="S13" i="2"/>
  <c r="T13" i="2" s="1"/>
  <c r="R13" i="2"/>
  <c r="W13" i="2" s="1"/>
  <c r="S12" i="2"/>
  <c r="T12" i="2" s="1"/>
  <c r="R12" i="2"/>
  <c r="W12" i="2" s="1"/>
  <c r="S11" i="2"/>
  <c r="T11" i="2" s="1"/>
  <c r="R11" i="2"/>
  <c r="U11" i="2" s="1"/>
  <c r="S10" i="2"/>
  <c r="T10" i="2" s="1"/>
  <c r="R10" i="2"/>
  <c r="W10" i="2" s="1"/>
  <c r="S9" i="2"/>
  <c r="T9" i="2" s="1"/>
  <c r="R9" i="2"/>
  <c r="W9" i="2" s="1"/>
  <c r="S8" i="2"/>
  <c r="T8" i="2" s="1"/>
  <c r="R8" i="2"/>
  <c r="W8" i="2" s="1"/>
  <c r="S7" i="2"/>
  <c r="T7" i="2" s="1"/>
  <c r="R7" i="2"/>
  <c r="U7" i="2" s="1"/>
  <c r="S6" i="2"/>
  <c r="T6" i="2" s="1"/>
  <c r="R6" i="2"/>
  <c r="V6" i="2" s="1"/>
  <c r="S5" i="2"/>
  <c r="T5" i="2" s="1"/>
  <c r="R5" i="2"/>
  <c r="W5" i="2" s="1"/>
  <c r="S4" i="2"/>
  <c r="T4" i="2" s="1"/>
  <c r="R4" i="2"/>
  <c r="W4" i="2" s="1"/>
  <c r="S3" i="2"/>
  <c r="T3" i="2" s="1"/>
  <c r="R3" i="2"/>
  <c r="U3" i="2" s="1"/>
  <c r="S2" i="2"/>
  <c r="T2" i="2" s="1"/>
  <c r="R2" i="2"/>
  <c r="V2" i="2" s="1"/>
  <c r="U54" i="2" l="1"/>
  <c r="U9" i="2"/>
  <c r="V75" i="2"/>
  <c r="V3" i="2"/>
  <c r="U37" i="2"/>
  <c r="V15" i="2"/>
  <c r="V51" i="2"/>
  <c r="W54" i="2"/>
  <c r="W30" i="2"/>
  <c r="U41" i="2"/>
  <c r="U78" i="2"/>
  <c r="V30" i="2"/>
  <c r="W6" i="2"/>
  <c r="W102" i="2"/>
  <c r="W38" i="2"/>
  <c r="V55" i="2"/>
  <c r="V58" i="2"/>
  <c r="W58" i="2"/>
  <c r="U14" i="2"/>
  <c r="V66" i="2"/>
  <c r="U73" i="2"/>
  <c r="V79" i="2"/>
  <c r="V94" i="2"/>
  <c r="U101" i="2"/>
  <c r="V11" i="2"/>
  <c r="W70" i="2"/>
  <c r="W94" i="2"/>
  <c r="W7" i="2"/>
  <c r="U13" i="2"/>
  <c r="W23" i="2"/>
  <c r="U26" i="2"/>
  <c r="U49" i="2"/>
  <c r="U62" i="2"/>
  <c r="W71" i="2"/>
  <c r="U77" i="2"/>
  <c r="W87" i="2"/>
  <c r="U90" i="2"/>
  <c r="W19" i="2"/>
  <c r="V22" i="2"/>
  <c r="W47" i="2"/>
  <c r="W83" i="2"/>
  <c r="V86" i="2"/>
  <c r="U17" i="2"/>
  <c r="W22" i="2"/>
  <c r="W39" i="2"/>
  <c r="U45" i="2"/>
  <c r="W55" i="2"/>
  <c r="U81" i="2"/>
  <c r="W86" i="2"/>
  <c r="W15" i="2"/>
  <c r="V23" i="2"/>
  <c r="V34" i="2"/>
  <c r="V43" i="2"/>
  <c r="U46" i="2"/>
  <c r="W51" i="2"/>
  <c r="W79" i="2"/>
  <c r="V87" i="2"/>
  <c r="V98" i="2"/>
  <c r="B14" i="4"/>
  <c r="B15" i="4" s="1"/>
  <c r="V26" i="2"/>
  <c r="V62" i="2"/>
  <c r="V90" i="2"/>
  <c r="W2" i="2"/>
  <c r="U5" i="2"/>
  <c r="V19" i="2"/>
  <c r="V47" i="2"/>
  <c r="U69" i="2"/>
  <c r="V83" i="2"/>
  <c r="V7" i="2"/>
  <c r="W11" i="2"/>
  <c r="U18" i="2"/>
  <c r="U33" i="2"/>
  <c r="V39" i="2"/>
  <c r="W43" i="2"/>
  <c r="U50" i="2"/>
  <c r="U65" i="2"/>
  <c r="V71" i="2"/>
  <c r="W75" i="2"/>
  <c r="U82" i="2"/>
  <c r="U97" i="2"/>
  <c r="V18" i="2"/>
  <c r="U29" i="2"/>
  <c r="V35" i="2"/>
  <c r="V50" i="2"/>
  <c r="U61" i="2"/>
  <c r="V67" i="2"/>
  <c r="V82" i="2"/>
  <c r="U93" i="2"/>
  <c r="V99" i="2"/>
  <c r="W3" i="2"/>
  <c r="U10" i="2"/>
  <c r="V14" i="2"/>
  <c r="U25" i="2"/>
  <c r="V31" i="2"/>
  <c r="W35" i="2"/>
  <c r="U42" i="2"/>
  <c r="V46" i="2"/>
  <c r="U57" i="2"/>
  <c r="V63" i="2"/>
  <c r="W67" i="2"/>
  <c r="U74" i="2"/>
  <c r="V78" i="2"/>
  <c r="U89" i="2"/>
  <c r="V95" i="2"/>
  <c r="W99" i="2"/>
  <c r="U2" i="2"/>
  <c r="U6" i="2"/>
  <c r="V10" i="2"/>
  <c r="U21" i="2"/>
  <c r="V27" i="2"/>
  <c r="W31" i="2"/>
  <c r="U38" i="2"/>
  <c r="V42" i="2"/>
  <c r="U53" i="2"/>
  <c r="V59" i="2"/>
  <c r="W63" i="2"/>
  <c r="U70" i="2"/>
  <c r="V74" i="2"/>
  <c r="U85" i="2"/>
  <c r="V91" i="2"/>
  <c r="W95" i="2"/>
  <c r="U102" i="2"/>
  <c r="W27" i="2"/>
  <c r="U34" i="2"/>
  <c r="W59" i="2"/>
  <c r="U66" i="2"/>
  <c r="W91" i="2"/>
  <c r="U98" i="2"/>
  <c r="U105" i="2"/>
  <c r="V5" i="2"/>
  <c r="V9" i="2"/>
  <c r="V13" i="2"/>
  <c r="V17" i="2"/>
  <c r="V21" i="2"/>
  <c r="V25" i="2"/>
  <c r="V29" i="2"/>
  <c r="V33" i="2"/>
  <c r="V37" i="2"/>
  <c r="V41" i="2"/>
  <c r="V45" i="2"/>
  <c r="V49" i="2"/>
  <c r="V53" i="2"/>
  <c r="V57" i="2"/>
  <c r="V61" i="2"/>
  <c r="V65" i="2"/>
  <c r="V69" i="2"/>
  <c r="V73" i="2"/>
  <c r="V77" i="2"/>
  <c r="V81" i="2"/>
  <c r="V85" i="2"/>
  <c r="V89" i="2"/>
  <c r="V93" i="2"/>
  <c r="V97" i="2"/>
  <c r="V101" i="2"/>
  <c r="V105" i="2"/>
  <c r="U4" i="2"/>
  <c r="U8" i="2"/>
  <c r="U12" i="2"/>
  <c r="U16" i="2"/>
  <c r="U20" i="2"/>
  <c r="U24" i="2"/>
  <c r="U28" i="2"/>
  <c r="U32" i="2"/>
  <c r="U36" i="2"/>
  <c r="U40" i="2"/>
  <c r="U44" i="2"/>
  <c r="U48" i="2"/>
  <c r="U52" i="2"/>
  <c r="U56" i="2"/>
  <c r="U60" i="2"/>
  <c r="U64" i="2"/>
  <c r="U68" i="2"/>
  <c r="U72" i="2"/>
  <c r="U76" i="2"/>
  <c r="U80" i="2"/>
  <c r="U84" i="2"/>
  <c r="U88" i="2"/>
  <c r="U92" i="2"/>
  <c r="U96" i="2"/>
  <c r="U100" i="2"/>
  <c r="U104" i="2"/>
  <c r="V4" i="2"/>
  <c r="V8" i="2"/>
  <c r="V12" i="2"/>
  <c r="V16" i="2"/>
  <c r="V20" i="2"/>
  <c r="V24" i="2"/>
  <c r="V28" i="2"/>
  <c r="V32" i="2"/>
  <c r="V36" i="2"/>
  <c r="V40" i="2"/>
  <c r="V44" i="2"/>
  <c r="V48" i="2"/>
  <c r="V52" i="2"/>
  <c r="V56" i="2"/>
  <c r="V60" i="2"/>
  <c r="V64" i="2"/>
  <c r="V68" i="2"/>
  <c r="V72" i="2"/>
  <c r="V76" i="2"/>
  <c r="V80" i="2"/>
  <c r="V84" i="2"/>
  <c r="V88" i="2"/>
  <c r="V92" i="2"/>
  <c r="V96" i="2"/>
  <c r="V100" i="2"/>
  <c r="V104" i="2"/>
  <c r="U103" i="2"/>
  <c r="V103" i="2"/>
  <c r="B6" i="4" l="1"/>
  <c r="B9" i="4"/>
  <c r="B8" i="4"/>
  <c r="B7" i="4"/>
  <c r="B11" i="4" l="1"/>
  <c r="B10" i="4"/>
  <c r="B12" i="4"/>
  <c r="B13" i="4" l="1"/>
</calcChain>
</file>

<file path=xl/sharedStrings.xml><?xml version="1.0" encoding="utf-8"?>
<sst xmlns="http://schemas.openxmlformats.org/spreadsheetml/2006/main" count="2861" uniqueCount="464">
  <si>
    <t>case_id</t>
  </si>
  <si>
    <t>dataset</t>
  </si>
  <si>
    <t>task_id</t>
  </si>
  <si>
    <t>task_name</t>
  </si>
  <si>
    <t>source_tables</t>
  </si>
  <si>
    <t>key_fields</t>
  </si>
  <si>
    <t>gold_available</t>
  </si>
  <si>
    <t>expected_status</t>
  </si>
  <si>
    <t>1</t>
  </si>
  <si>
    <t>UCI</t>
  </si>
  <si>
    <t>S-B01</t>
  </si>
  <si>
    <t>Performance overview</t>
  </si>
  <si>
    <t>enrollment, assessment_result, assessment</t>
  </si>
  <si>
    <t>avg_score [FE], pass_rate [FE], performance_trend [FE], final_outcome</t>
  </si>
  <si>
    <t>YES</t>
  </si>
  <si>
    <t>executable</t>
  </si>
  <si>
    <t>2</t>
  </si>
  <si>
    <t>S-B02</t>
  </si>
  <si>
    <t>Risk status card</t>
  </si>
  <si>
    <t>enrollment, assessment_result, assessment, engagement</t>
  </si>
  <si>
    <t>at_risk_score [FE], at_risk_label [FE]; punctuality_rate [FE cross] (OULAD: submission_day/due_day; UCI: 1−absences_rate)</t>
  </si>
  <si>
    <t>3</t>
  </si>
  <si>
    <t>S-B03</t>
  </si>
  <si>
    <t>Engagement summary</t>
  </si>
  <si>
    <t>enrollment, engagement</t>
  </si>
  <si>
    <t>total_engagement_count [FE], active_days [FE], engagement_score [FE], class_avg_engagement_score [FE], study_effort_level [FE]</t>
  </si>
  <si>
    <t>NO</t>
  </si>
  <si>
    <t>insufficient_data</t>
  </si>
  <si>
    <t>4</t>
  </si>
  <si>
    <t>S-T01</t>
  </si>
  <si>
    <t>Score trend analysis</t>
  </si>
  <si>
    <t>assessment_result, assessment</t>
  </si>
  <si>
    <t>score_normalized, assessment_order, week_of_class, assessment_type; performance_trend [FE cross]</t>
  </si>
  <si>
    <t>5</t>
  </si>
  <si>
    <t>S-T02</t>
  </si>
  <si>
    <t>Competency gap analysis</t>
  </si>
  <si>
    <t>competency_tag, score_normalized, pass_flag, assessment_type</t>
  </si>
  <si>
    <t>6</t>
  </si>
  <si>
    <t>S-T03</t>
  </si>
  <si>
    <t>Peer comparison</t>
  </si>
  <si>
    <t>avg_score [FE cross], engagement_score [FE cross], pass_rate [FE cross], performance_trend [FE cross]</t>
  </si>
  <si>
    <t>7</t>
  </si>
  <si>
    <t>S-T04</t>
  </si>
  <si>
    <t>At-risk self-check</t>
  </si>
  <si>
    <t>at_risk_score [FE cross], at_risk_label [FE cross], avg_score [FE cross], engagement_score [FE cross], punctuality_rate [FE cross], performance_trend [FE cross], previous_attempt_count</t>
  </si>
  <si>
    <t>8</t>
  </si>
  <si>
    <t>S-T05</t>
  </si>
  <si>
    <t>Weekly engagement trend</t>
  </si>
  <si>
    <t>engagement [OULAD only]</t>
  </si>
  <si>
    <t>week_number, engagement_count; early_warning_week [FE cross], weekly_engagement_drop [FE cross]</t>
  </si>
  <si>
    <t>9</t>
  </si>
  <si>
    <t>S-T06</t>
  </si>
  <si>
    <t>Study consistency check</t>
  </si>
  <si>
    <t>enrollment, engagement [OULAD only]</t>
  </si>
  <si>
    <t>week_number, engagement_count; consistency_level [FE cross]</t>
  </si>
  <si>
    <t>10</t>
  </si>
  <si>
    <t>S-T07</t>
  </si>
  <si>
    <t>Absence / inactivity impact</t>
  </si>
  <si>
    <t>absences [enrollment, UCI only]; score_normalized, pass_flag [assessment_result]</t>
  </si>
  <si>
    <t>11</t>
  </si>
  <si>
    <t>S-T08</t>
  </si>
  <si>
    <t>Assessment lateness impact</t>
  </si>
  <si>
    <t>assessment_result, assessment [OULAD only]</t>
  </si>
  <si>
    <t>submission_delay_days, score_normalized, assessment_type; submission_delay_avg [FE cross], punctuality_rate [FE cross]</t>
  </si>
  <si>
    <t>partial</t>
  </si>
  <si>
    <t>12</t>
  </si>
  <si>
    <t>S-T09</t>
  </si>
  <si>
    <t>Lifestyle risk vs performance</t>
  </si>
  <si>
    <t>student, enrollment, assessment_result, assessment [UCI only]</t>
  </si>
  <si>
    <t>alcohol_weekday, alcohol_weekend, go_out_freq, health_status, family_relation, free_time, lifestyle_risk_score [FE single]</t>
  </si>
  <si>
    <t>13</t>
  </si>
  <si>
    <t>S-T10</t>
  </si>
  <si>
    <t>Resource engagement breakdown</t>
  </si>
  <si>
    <t>engagement, event [OULAD only]</t>
  </si>
  <si>
    <t>resource_type, engagement_count; vle_diversity_score [FE cross], forum_engagement_rate [FE cross], quiz_engagement_rate [FE cross]</t>
  </si>
  <si>
    <t>14</t>
  </si>
  <si>
    <t>S-T11</t>
  </si>
  <si>
    <t>Registration timing vs performance</t>
  </si>
  <si>
    <t>enrollment, assessment_result, assessment [OULAD only]</t>
  </si>
  <si>
    <t>enrollment_start_day, registration_lead_time [FE single], final_outcome</t>
  </si>
  <si>
    <t>15</t>
  </si>
  <si>
    <t>S-T12</t>
  </si>
  <si>
    <t>Procrastination analysis</t>
  </si>
  <si>
    <t>submission_delay_days, score_normalized, pass_flag; submission_delay_avg [FE cross], punctuality_rate [FE cross]</t>
  </si>
  <si>
    <t>16</t>
  </si>
  <si>
    <t>S-T13</t>
  </si>
  <si>
    <t>Action plan generation</t>
  </si>
  <si>
    <t>enrollment, student</t>
  </si>
  <si>
    <t>[AI_SYNTHESIS] avg_score [FE cross], at_risk_score [FE cross], engagement_score [FE cross], absence_rate [FE single], performance_trend [FE cross], lifestyle_risk_score [FE single]</t>
  </si>
  <si>
    <t>17</t>
  </si>
  <si>
    <t>S-T14</t>
  </si>
  <si>
    <t>Social balance vs performance</t>
  </si>
  <si>
    <t>student, assessment_result, assessment [UCI only]</t>
  </si>
  <si>
    <t>social_balance_score [FE single], avg_score [FE cross], free_time, go_out_freq, alcohol_weekday</t>
  </si>
  <si>
    <t>18</t>
  </si>
  <si>
    <t>S-T15</t>
  </si>
  <si>
    <t>Family context vs performance</t>
  </si>
  <si>
    <t>family_stability_score [FE single], avg_score [FE cross], family_relation, parent_cohabitation_status, mother/father_education_level</t>
  </si>
  <si>
    <t>19</t>
  </si>
  <si>
    <t>A-B01</t>
  </si>
  <si>
    <t>Overall performance distribution</t>
  </si>
  <si>
    <t>assessment_result, assessment, enrollment</t>
  </si>
  <si>
    <t>score_normalized, assessment_type</t>
  </si>
  <si>
    <t>20</t>
  </si>
  <si>
    <t>A-B02</t>
  </si>
  <si>
    <t>Completion / outcome summary</t>
  </si>
  <si>
    <t>enrollment</t>
  </si>
  <si>
    <t>final_outcome, class_id</t>
  </si>
  <si>
    <t>21</t>
  </si>
  <si>
    <t>A-B03</t>
  </si>
  <si>
    <t>Engagement distribution</t>
  </si>
  <si>
    <t>engagement_score [FE], study_effort_level [FE], total_engagement_count</t>
  </si>
  <si>
    <t>22</t>
  </si>
  <si>
    <t>A-B04</t>
  </si>
  <si>
    <t>At-risk overview</t>
  </si>
  <si>
    <t>at_risk_label [FE], at_risk_score [FE]; enrollment_id and avg_score from enrollment + score_agg JOIN (not from risk_flags directly)</t>
  </si>
  <si>
    <t>23</t>
  </si>
  <si>
    <t>A-S01</t>
  </si>
  <si>
    <t>Student full profile snapshot</t>
  </si>
  <si>
    <t>student, enrollment</t>
  </si>
  <si>
    <t>student_id, gender, age_group, avg_score [FE cross], engagement_score [FE cross], at_risk_label [FE cross], at_risk_score [FE cross], study_effort_level [FE cross], final_outcome, previous_attempt_count</t>
  </si>
  <si>
    <t>24</t>
  </si>
  <si>
    <t>A-S02</t>
  </si>
  <si>
    <t>Student score trend</t>
  </si>
  <si>
    <t>25</t>
  </si>
  <si>
    <t>A-S03</t>
  </si>
  <si>
    <t>Student engagement trajectory</t>
  </si>
  <si>
    <t>week_number, engagement_count; early_warning_week [FE cross], weekly_engagement_drop [FE cross], consistency_level [FE cross]</t>
  </si>
  <si>
    <t>26</t>
  </si>
  <si>
    <t>A-S04</t>
  </si>
  <si>
    <t>Student risk flag breakdown</t>
  </si>
  <si>
    <t>27</t>
  </si>
  <si>
    <t>A-S05</t>
  </si>
  <si>
    <t>Student competency gap</t>
  </si>
  <si>
    <t>28</t>
  </si>
  <si>
    <t>A-S06</t>
  </si>
  <si>
    <t>Student submission &amp; punctuality</t>
  </si>
  <si>
    <t>29</t>
  </si>
  <si>
    <t>A-S07</t>
  </si>
  <si>
    <t>Student background context</t>
  </si>
  <si>
    <t>highest_education, socioeconomic_band, disadvantage_score [FE single], support_score [FE single], family_stability_score [FE single], disability_flag, internet_access_flag, previous_attempt_count</t>
  </si>
  <si>
    <t>30</t>
  </si>
  <si>
    <t>A-S08</t>
  </si>
  <si>
    <t>Student intervention recommendation</t>
  </si>
  <si>
    <t>enrollment, student, assessment_result, assessment, engagement</t>
  </si>
  <si>
    <t>[AI_SYNTHESIS] avg_score [FE cross], at_risk_score [FE cross], engagement_score [FE cross], punctuality_rate [FE cross], performance_trend [FE cross], early_warning_week [FE cross], support_score [FE single]</t>
  </si>
  <si>
    <t>31</t>
  </si>
  <si>
    <t>A-C01</t>
  </si>
  <si>
    <t>Compare performance trajectories</t>
  </si>
  <si>
    <t>score_normalized, assessment_order, week_of_class, assessment_type</t>
  </si>
  <si>
    <t>32</t>
  </si>
  <si>
    <t>A-C02</t>
  </si>
  <si>
    <t>Compare engagement patterns</t>
  </si>
  <si>
    <t>metric [FE cross], engagement_score [FE cross], study_effort_level [FE cross], total_clicks, active_days</t>
  </si>
  <si>
    <t>33</t>
  </si>
  <si>
    <t>A-C03</t>
  </si>
  <si>
    <t>Compare risk profile</t>
  </si>
  <si>
    <t>student_id [FE cross], at_risk_score [FE cross], at_risk_label [FE cross], avg_score [FE cross], engagement_score [FE cross], punctuality_rate [FE cross], performance_trend [FE cross], flag_low_score, flag_repeated, flag_low_engagement, flag_low_punctuality, flag_neg_trend, previous_attempt_count, final_outcome</t>
  </si>
  <si>
    <t>34</t>
  </si>
  <si>
    <t>A-C04</t>
  </si>
  <si>
    <t>Compare lifestyle context</t>
  </si>
  <si>
    <t>student, enrollment [UCI only]</t>
  </si>
  <si>
    <t>student_id [FE cross], lifestyle_dimension [FE cross], lifestyle_risk_score [FE cross], alcohol_weekday, alcohol_weekend, go_out_freq, health_status, free_time, composite_lifestyle_risk_score, social_balance_score</t>
  </si>
  <si>
    <t>35</t>
  </si>
  <si>
    <t>A-C05</t>
  </si>
  <si>
    <t>Compare academic background</t>
  </si>
  <si>
    <t>highest_education, previous_attempt_count, imd_score_numeric, socioeconomic_band, disability_flag, disadvantage_score [FE single], support_score [FE single], family_stability_score [FE single]</t>
  </si>
  <si>
    <t>36</t>
  </si>
  <si>
    <t>A-C06</t>
  </si>
  <si>
    <t>Compare resource usage</t>
  </si>
  <si>
    <t>enrollment, engagement, event [OULAD only]</t>
  </si>
  <si>
    <t>37</t>
  </si>
  <si>
    <t>A-G01</t>
  </si>
  <si>
    <t>Identify low-engagement group</t>
  </si>
  <si>
    <t>engagement_score [FE cross], study_effort_level [FE cross], total_clicks (engagement), active_days</t>
  </si>
  <si>
    <t>38</t>
  </si>
  <si>
    <t>A-G02</t>
  </si>
  <si>
    <t>Engagement–performance relationship</t>
  </si>
  <si>
    <t>engagement_score [FE cross], avg_score [FE cross], final_outcome</t>
  </si>
  <si>
    <t>39</t>
  </si>
  <si>
    <t>A-G03</t>
  </si>
  <si>
    <t>Identify at-risk cohort</t>
  </si>
  <si>
    <t>at_risk_score [FE cross], at_risk_label [FE cross], avg_score [FE cross], final_outcome</t>
  </si>
  <si>
    <t>40</t>
  </si>
  <si>
    <t>A-G04</t>
  </si>
  <si>
    <t>Assessment difficulty analysis</t>
  </si>
  <si>
    <t>assessment_name, assessment_type, week_of_class, competency_tag, score_normalized, pass_flag</t>
  </si>
  <si>
    <t>41</t>
  </si>
  <si>
    <t>A-G05</t>
  </si>
  <si>
    <t>Submission behaviour analysis</t>
  </si>
  <si>
    <t>assessment_result, assessment, enrollment [OULAD only]</t>
  </si>
  <si>
    <t>final_outcome [FE cross], assessment_type [FE cross], submission_delay_avg [FE cross], late_submission_rate [FE cross], punctuality_rate [FE cross], student_count, submission_count, avg_score, submission_risk_level</t>
  </si>
  <si>
    <t>42</t>
  </si>
  <si>
    <t>A-G06</t>
  </si>
  <si>
    <t>Activity type effectiveness</t>
  </si>
  <si>
    <t>enrollment, engagement, event, assessment_result, assessment [OULAD only]</t>
  </si>
  <si>
    <t>resource_type, engagement_count; avg_score [FE cross] by resource_type</t>
  </si>
  <si>
    <t>43</t>
  </si>
  <si>
    <t>A-G07</t>
  </si>
  <si>
    <t>Factor correlation analysis</t>
  </si>
  <si>
    <t>enrollment, assessment_result, assessment, engagement, student</t>
  </si>
  <si>
    <t>avg_score [FE cross], engagement_score [FE cross], previous_attempt_count, absences, studytime, total_clicks, active_days</t>
  </si>
  <si>
    <t>44</t>
  </si>
  <si>
    <t>A-G08</t>
  </si>
  <si>
    <t>Background group performance &amp; engagement profile</t>
  </si>
  <si>
    <t>student, enrollment, assessment_result, assessment, engagement</t>
  </si>
  <si>
    <t>socioeconomic_band / gender / age_group / highest_education; avg_score [FE cross], engagement_score [FE cross]</t>
  </si>
  <si>
    <t>45</t>
  </si>
  <si>
    <t>A-G09</t>
  </si>
  <si>
    <t>Socioeconomic disadvantage impact</t>
  </si>
  <si>
    <t>student, enrollment, assessment_result, assessment [OULAD only]</t>
  </si>
  <si>
    <t>imd_score_numeric, disability_flag, highest_education, disadvantage_score [FE single]; avg_score [FE cross], final_outcome</t>
  </si>
  <si>
    <t>46</t>
  </si>
  <si>
    <t>A-G10</t>
  </si>
  <si>
    <t>Consistency analysis across cohort</t>
  </si>
  <si>
    <t>consistency_level [FE cross], student_count [FE cross], pct_students [FE cross], avg_weekly_stddev, avg_weekly_clicks, avg_active_weeks</t>
  </si>
  <si>
    <t>47</t>
  </si>
  <si>
    <t>A-G11</t>
  </si>
  <si>
    <t>Weekly engagement drop detection</t>
  </si>
  <si>
    <t>week_number, engagement_count; is_drop_week [FE cross], rolling_3wk_avg, drop_pct</t>
  </si>
  <si>
    <t>48</t>
  </si>
  <si>
    <t>A-G12</t>
  </si>
  <si>
    <t>Background group pass/fail/withdrawal rate</t>
  </si>
  <si>
    <t>socioeconomic_band / gender / age_group / highest_education; final_outcome</t>
  </si>
  <si>
    <t>49</t>
  </si>
  <si>
    <t>A-G13</t>
  </si>
  <si>
    <t>Lifestyle risk across cohort</t>
  </si>
  <si>
    <t>alcohol_weekday, alcohol_weekend, go_out_freq, health_status, lifestyle_risk_score [FE single]; avg_score [FE cross]</t>
  </si>
  <si>
    <t>50</t>
  </si>
  <si>
    <t>A-G14</t>
  </si>
  <si>
    <t>Early withdrawal signal analysis</t>
  </si>
  <si>
    <t>week_number, engagement_count; final_outcome, avg_clicks by outcome group</t>
  </si>
  <si>
    <t>51</t>
  </si>
  <si>
    <t>A-G15</t>
  </si>
  <si>
    <t>Intervention priority ranking</t>
  </si>
  <si>
    <t>student_id, gender, age_group, region; at_risk_score [FE cross], at_risk_label [FE cross], avg_score [FE cross], all 5 flags, final_outcome</t>
  </si>
  <si>
    <t>52</t>
  </si>
  <si>
    <t>A-G16</t>
  </si>
  <si>
    <t>Admin action recommendation</t>
  </si>
  <si>
    <t>[AI_SYNTHESIS] low_engagement_count, high_risk_count, hardest_assessment, best_resource_type, total_students</t>
  </si>
  <si>
    <t>53</t>
  </si>
  <si>
    <t>OULAD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</si>
  <si>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</si>
  <si>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</si>
  <si>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</si>
  <si>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</si>
  <si>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</si>
  <si>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</si>
  <si>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</si>
  <si>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</si>
  <si>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</si>
  <si>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</si>
  <si>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</si>
  <si>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</si>
  <si>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</si>
  <si>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</si>
  <si>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</si>
  <si>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</si>
  <si>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</si>
  <si>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</si>
  <si>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</si>
  <si>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</si>
  <si>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</si>
  <si>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</si>
  <si>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</si>
  <si>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</si>
  <si>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</si>
  <si>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</si>
  <si>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</si>
  <si>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</si>
  <si>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</si>
  <si>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</si>
  <si>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</si>
  <si>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</si>
  <si>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</si>
  <si>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</si>
  <si>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</si>
  <si>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</si>
  <si>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</si>
  <si>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</si>
  <si>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</si>
  <si>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</si>
  <si>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</si>
  <si>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</si>
  <si>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</si>
  <si>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</si>
  <si>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</si>
  <si>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</si>
  <si>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</si>
  <si>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</si>
  <si>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</si>
  <si>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</si>
  <si>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</si>
  <si>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batch_id</t>
  </si>
  <si>
    <t>class_id</t>
  </si>
  <si>
    <t>machine_available</t>
  </si>
  <si>
    <t>machine_status</t>
  </si>
  <si>
    <t>machine_reason</t>
  </si>
  <si>
    <t>structural</t>
  </si>
  <si>
    <t>semantic</t>
  </si>
  <si>
    <t>analytical</t>
  </si>
  <si>
    <t>data_sufficiency</t>
  </si>
  <si>
    <t>missing_required_capabilities</t>
  </si>
  <si>
    <t>missing_any_capabilities</t>
  </si>
  <si>
    <t>confidence</t>
  </si>
  <si>
    <t>confidence_reason</t>
  </si>
  <si>
    <t>status_correct</t>
  </si>
  <si>
    <t>gold_reason</t>
  </si>
  <si>
    <t>correct</t>
  </si>
  <si>
    <t>error_type</t>
  </si>
  <si>
    <t>SAMPLE_UCI_POR</t>
  </si>
  <si>
    <t>SAMPLE_UCI_POR_CLASS</t>
  </si>
  <si>
    <t>pass</t>
  </si>
  <si>
    <t>HIGH</t>
  </si>
  <si>
    <t>Required capability missing: engagement_tracking</t>
  </si>
  <si>
    <t>fail</t>
  </si>
  <si>
    <t>engagement_tracking</t>
  </si>
  <si>
    <t>LOW</t>
  </si>
  <si>
    <t>No positive engagement activity found (0 engagement rows).</t>
  </si>
  <si>
    <t>engagement_tracking; temporal_activity</t>
  </si>
  <si>
    <t>Task depends on OULAD week-level engagement patterns and outcome labels.</t>
  </si>
  <si>
    <t>Required capability missing: submission_timestamps</t>
  </si>
  <si>
    <t>submission_timestamps</t>
  </si>
  <si>
    <t>engagement_tracking; resource_clickstream</t>
  </si>
  <si>
    <t>Required capability missing: registration_timing</t>
  </si>
  <si>
    <t>registration_timing</t>
  </si>
  <si>
    <t>Task depends on OULAD engagement/online activity signals.</t>
  </si>
  <si>
    <t>Engagementâ€“performance relationship</t>
  </si>
  <si>
    <t>Task depends on OULAD IMD-derived disadvantage_score and score outcomes.</t>
  </si>
  <si>
    <t>socioeconomic_context; disadvantage_scoring</t>
  </si>
  <si>
    <t>SAMPLE_OULAD</t>
  </si>
  <si>
    <t>SAMPLE_OULAD_CLASS_CCC_2014J</t>
  </si>
  <si>
    <t>Uses UCI absence-based behavior signal; OULAD canonical data does not provide absences.</t>
  </si>
  <si>
    <t>absence_tracking</t>
  </si>
  <si>
    <t>Task depends on UCI-specific lifestyle/family/absence fields.</t>
  </si>
  <si>
    <t>lifestyle_factors</t>
  </si>
  <si>
    <t>family_context</t>
  </si>
  <si>
    <t>Required capability missing: lifestyle_factors</t>
  </si>
  <si>
    <t>capability</t>
  </si>
  <si>
    <t>available</t>
  </si>
  <si>
    <t>evidence_metric</t>
  </si>
  <si>
    <t>evidence_value</t>
  </si>
  <si>
    <t>threshold_or_rule</t>
  </si>
  <si>
    <t>groundtruth_note</t>
  </si>
  <si>
    <t>Dataset Metric Snapshot</t>
  </si>
  <si>
    <t>absences_non_null_rows</t>
  </si>
  <si>
    <t>&gt;= 1 absence row</t>
  </si>
  <si>
    <t>Available in dataset snapshot</t>
  </si>
  <si>
    <t>metric</t>
  </si>
  <si>
    <t>value</t>
  </si>
  <si>
    <t>note</t>
  </si>
  <si>
    <t>assessment_scores</t>
  </si>
  <si>
    <t>score_non_null_rows</t>
  </si>
  <si>
    <t>&gt;= 2 score rows</t>
  </si>
  <si>
    <t>enrollment_rows</t>
  </si>
  <si>
    <t>Used as evidence for capability inference</t>
  </si>
  <si>
    <t>competency_tagging</t>
  </si>
  <si>
    <t>competency_tag_non_null_rows</t>
  </si>
  <si>
    <t>&gt;= 1 native competency tag</t>
  </si>
  <si>
    <t>Unavailable / insufficient in dataset snapshot</t>
  </si>
  <si>
    <t>distinct_students</t>
  </si>
  <si>
    <t>demographics</t>
  </si>
  <si>
    <t>demographics_students</t>
  </si>
  <si>
    <t>&gt;= 1 student with demographic fields</t>
  </si>
  <si>
    <t>assessment_rows</t>
  </si>
  <si>
    <t>disadvantage_scoring</t>
  </si>
  <si>
    <t>disadvantage_score_students</t>
  </si>
  <si>
    <t>assessment_result_rows</t>
  </si>
  <si>
    <t>positive_engagement_rows</t>
  </si>
  <si>
    <t>&gt;= 1 positive engagement row</t>
  </si>
  <si>
    <t>family_students</t>
  </si>
  <si>
    <t>&gt;= 1 student with family-context fields</t>
  </si>
  <si>
    <t>final_outcome_non_null_rows</t>
  </si>
  <si>
    <t>final_outcome</t>
  </si>
  <si>
    <t>&gt;= 1 outcome row</t>
  </si>
  <si>
    <t>submission_day_non_null_rows</t>
  </si>
  <si>
    <t>lifestyle_students</t>
  </si>
  <si>
    <t>&gt;= 1 student with lifestyle fields</t>
  </si>
  <si>
    <t>engagement_rows</t>
  </si>
  <si>
    <t>multi_student_comparison</t>
  </si>
  <si>
    <t>&gt;= 2 students</t>
  </si>
  <si>
    <t>proxy_competency_available</t>
  </si>
  <si>
    <t>assessment_name_non_null_rows</t>
  </si>
  <si>
    <t>&gt;= 1 assessment name usable as proxy</t>
  </si>
  <si>
    <t>distinct_engagement_weeks</t>
  </si>
  <si>
    <t>registration_non_null_rows</t>
  </si>
  <si>
    <t>&gt;= 1 registration timing row</t>
  </si>
  <si>
    <t>resource_type_non_null_rows</t>
  </si>
  <si>
    <t>resource_clickstream</t>
  </si>
  <si>
    <t>socioeconomic_context</t>
  </si>
  <si>
    <t>socioeconomic_students</t>
  </si>
  <si>
    <t>&gt;= 1 student with socioeconomic fields</t>
  </si>
  <si>
    <t>studytime_non_null_rows</t>
  </si>
  <si>
    <t>studytime_tracking</t>
  </si>
  <si>
    <t>&gt;= 1 studytime row</t>
  </si>
  <si>
    <t>submission_history</t>
  </si>
  <si>
    <t>&gt;= 1 assessment result row</t>
  </si>
  <si>
    <t>submission_day_non_null_rows + due_day_non_null_rows</t>
  </si>
  <si>
    <t>submission_day=0, due_day=3</t>
  </si>
  <si>
    <t>both &gt; 0</t>
  </si>
  <si>
    <t>temporal_activity</t>
  </si>
  <si>
    <t>distinct_engagement_weeks / distinct_engagement_days</t>
  </si>
  <si>
    <t>weeks=0, days=0</t>
  </si>
  <si>
    <t>submission_day=11451, due_day=8</t>
  </si>
  <si>
    <t>weeks=42, days=288</t>
  </si>
  <si>
    <t>Task Availability Validator Evaluation Summary</t>
  </si>
  <si>
    <t>All metrics are Excel formulas calculated from Machine Results, which is formula-linked to the user-reviewed Ground Truth sheet.</t>
  </si>
  <si>
    <t>Metric</t>
  </si>
  <si>
    <t>Formula result</t>
  </si>
  <si>
    <t>Formula definition</t>
  </si>
  <si>
    <t>Total cases</t>
  </si>
  <si>
    <t>TP</t>
  </si>
  <si>
    <t>Gold YES and machine YES</t>
  </si>
  <si>
    <t>TN</t>
  </si>
  <si>
    <t>Gold NO and machine NO</t>
  </si>
  <si>
    <t>FP</t>
  </si>
  <si>
    <t>Gold NO but machine YES</t>
  </si>
  <si>
    <t>FN</t>
  </si>
  <si>
    <t>Gold YES but machine NO</t>
  </si>
  <si>
    <t>Accuracy</t>
  </si>
  <si>
    <t>(TP + TN) / Total</t>
  </si>
  <si>
    <t>Precision</t>
  </si>
  <si>
    <t>TP / (TP + FP)</t>
  </si>
  <si>
    <t>Recall</t>
  </si>
  <si>
    <t>TP / (TP + FN)</t>
  </si>
  <si>
    <t>F1-score</t>
  </si>
  <si>
    <t>Exact status correct</t>
  </si>
  <si>
    <t>Expected status exactly equals machine status</t>
  </si>
  <si>
    <t>Exact status accuracy</t>
  </si>
  <si>
    <t>Exact status correct / Total</t>
  </si>
  <si>
    <t>Machine status by dataset</t>
  </si>
  <si>
    <t>Dataset</t>
  </si>
  <si>
    <t>Total</t>
  </si>
  <si>
    <t>Executable</t>
  </si>
  <si>
    <t>Partial</t>
  </si>
  <si>
    <t>Insufficient data</t>
  </si>
  <si>
    <t>Unsupported</t>
  </si>
  <si>
    <t>Item</t>
  </si>
  <si>
    <t>Description</t>
  </si>
  <si>
    <t>Purpose</t>
  </si>
  <si>
    <t>This workbook evaluates Task Availability Validator accuracy using machine-generated logs and manual ground truth labels.</t>
  </si>
  <si>
    <t>Machine Results</t>
  </si>
  <si>
    <t>Automatic validator output plus independent gold labels and TP/TN/FP/FN comparison.</t>
  </si>
  <si>
    <t>Ground Truth</t>
  </si>
  <si>
    <t>Independent labels derived only from [Final] Analysis_tasks (2).xlsx Dataset Compatibility; contains no machine fields.</t>
  </si>
  <si>
    <t>Availability rule</t>
  </si>
  <si>
    <t>machine_available = YES only when machine_status is executable; partial/insufficient_data/unsupported are treated as NO for clean downstream AI evaluation.</t>
  </si>
  <si>
    <t>Error types</t>
  </si>
  <si>
    <t>TP: both YES; TN: both NO; FP: machine lets invalid task pass; FN: machine blocks valid task.</t>
  </si>
  <si>
    <t>Source logs</t>
  </si>
  <si>
    <t>Capability Check</t>
  </si>
  <si>
    <t>Expected status</t>
  </si>
  <si>
    <t>Recalculation</t>
  </si>
  <si>
    <t>Machine Results comparison columns and Evaluation Summary were recalculated from the user-reviewed Ground Truth on 2026-06-19.</t>
  </si>
  <si>
    <t>Number of task x dataset pairs</t>
  </si>
  <si>
    <t>2 x Precision x Recall / (Precision + Recall)</t>
  </si>
  <si>
    <t>649 students × 3 assessments across 3 weeks - strong statistical basic</t>
  </si>
  <si>
    <t>1998 students x 9 assessments across 8 weeks - strong statistical basis.</t>
  </si>
  <si>
    <t>Derived independently from Dataset Compatibility: compatible task-dataset pair -&gt; executable; incompatible pair -&gt; unsupported. Binary and exact-status accuracy are reported separately.</t>
  </si>
  <si>
    <t>disadvantage_score_students &gt;= 2</t>
  </si>
  <si>
    <t>positive_engagement_rows &gt;= 1 AND resource_type_non_null_rows &gt;= 1</t>
  </si>
  <si>
    <t>positive_engagement_rows &gt;= 1 AND distinct_engagement_weeks &gt;= 2</t>
  </si>
  <si>
    <t>task_availability_20260619T042411Z_265c90.json and task_availability_20260619T042455Z_0ef6b3.json</t>
  </si>
  <si>
    <t>Supporting evidence sheet showing dataset-level capabilities, runtime metrics, and the exact boolean thresholds used by the validator.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</si>
</sst>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9"/>
      <color rgb="FF9C5700"/>
      <name val="Calibri"/>
    </font>
    <font>
      <b/>
      <sz val="16"/>
      <color rgb="FF1F4E79"/>
      <name val="Calibri"/>
    </font>
    <font>
      <sz val="9"/>
      <color rgb="FF666666"/>
      <name val="Calibri"/>
    </font>
    <font>
      <b/>
      <sz val="11"/>
      <name val="Calibri"/>
    </font>
    <font>
      <b/>
      <sz val="13"/>
      <color rgb="FF1F4E79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E2F0D9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0" fillId="6" borderId="5" xfId="0" applyFill="1" applyBorder="1" applyAlignment="1">
      <alignment vertical="top" wrapText="1"/>
    </xf>
    <xf numFmtId="0" fontId="0" fillId="7" borderId="5" xfId="0" applyFill="1" applyBorder="1" applyAlignment="1">
      <alignment vertical="top" wrapText="1"/>
    </xf>
    <xf numFmtId="0" fontId="0" fillId="8" borderId="6" xfId="0" applyFill="1" applyBorder="1" applyAlignment="1">
      <alignment vertical="top" wrapText="1"/>
    </xf>
    <xf numFmtId="0" fontId="0" fillId="9" borderId="6" xfId="0" applyFill="1" applyBorder="1" applyAlignment="1">
      <alignment vertical="top" wrapText="1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 wrapText="1"/>
    </xf>
    <xf numFmtId="0" fontId="0" fillId="6" borderId="5" xfId="0" applyFill="1" applyBorder="1" applyAlignment="1">
      <alignment vertical="center" wrapText="1"/>
    </xf>
    <xf numFmtId="0" fontId="0" fillId="8" borderId="6" xfId="0" applyFill="1" applyBorder="1" applyAlignment="1">
      <alignment vertical="center" wrapText="1"/>
    </xf>
    <xf numFmtId="0" fontId="0" fillId="7" borderId="5" xfId="0" applyFill="1" applyBorder="1" applyAlignment="1">
      <alignment vertical="center" wrapText="1"/>
    </xf>
    <xf numFmtId="0" fontId="0" fillId="9" borderId="6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10" borderId="7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8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8" fillId="5" borderId="2" xfId="0" applyFont="1" applyFill="1" applyBorder="1" applyAlignment="1">
      <alignment vertical="center"/>
    </xf>
    <xf numFmtId="0" fontId="0" fillId="11" borderId="0" xfId="0" applyFill="1" applyAlignment="1">
      <alignment vertical="center"/>
    </xf>
    <xf numFmtId="0" fontId="5" fillId="0" borderId="2" xfId="0" applyFont="1" applyBorder="1" applyAlignment="1">
      <alignment vertical="center" wrapText="1"/>
    </xf>
    <xf numFmtId="10" fontId="0" fillId="0" borderId="2" xfId="0" applyNumberFormat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8" fillId="5" borderId="7" xfId="0" applyFont="1" applyFill="1" applyBorder="1" applyAlignment="1">
      <alignment vertical="center" wrapText="1"/>
    </xf>
    <xf numFmtId="0" fontId="0" fillId="5" borderId="3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workbookViewId="0">
      <pane ySplit="1" topLeftCell="A11" activePane="bottomLeft" state="frozen"/>
      <selection pane="bottomLeft" activeCell="C14" sqref="C14"/>
    </sheetView>
  </sheetViews>
  <sheetFormatPr defaultRowHeight="14.4" x14ac:dyDescent="0.3"/>
  <cols>
    <col min="1" max="2" width="11.6640625" style="8" bestFit="1" customWidth="1"/>
    <col min="3" max="3" width="11.44140625" style="8" bestFit="1" customWidth="1"/>
    <col min="4" max="4" width="37.33203125" style="8" bestFit="1" customWidth="1"/>
    <col min="5" max="5" width="48" style="8" customWidth="1"/>
    <col min="6" max="6" width="59.88671875" style="8" bestFit="1" customWidth="1"/>
    <col min="7" max="7" width="17.6640625" style="8" bestFit="1" customWidth="1"/>
    <col min="8" max="8" width="17" style="8" bestFit="1" customWidth="1"/>
    <col min="9" max="11" width="8.88671875" style="8" customWidth="1"/>
    <col min="12" max="16384" width="8.88671875" style="8"/>
  </cols>
  <sheetData>
    <row r="1" spans="1:8" s="23" customFormat="1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2" t="s">
        <v>7</v>
      </c>
    </row>
    <row r="2" spans="1:8" ht="28.8" customHeight="1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6" t="s">
        <v>15</v>
      </c>
    </row>
    <row r="3" spans="1:8" ht="43.2" customHeight="1" x14ac:dyDescent="0.3">
      <c r="A3" s="3" t="s">
        <v>16</v>
      </c>
      <c r="B3" s="3" t="s">
        <v>9</v>
      </c>
      <c r="C3" s="3" t="s">
        <v>17</v>
      </c>
      <c r="D3" s="3" t="s">
        <v>18</v>
      </c>
      <c r="E3" s="3" t="s">
        <v>19</v>
      </c>
      <c r="F3" s="3" t="s">
        <v>20</v>
      </c>
      <c r="G3" s="4" t="s">
        <v>14</v>
      </c>
      <c r="H3" s="6" t="s">
        <v>15</v>
      </c>
    </row>
    <row r="4" spans="1:8" ht="28.8" customHeight="1" x14ac:dyDescent="0.3">
      <c r="A4" s="3" t="s">
        <v>21</v>
      </c>
      <c r="B4" s="3" t="s">
        <v>9</v>
      </c>
      <c r="C4" s="3" t="s">
        <v>22</v>
      </c>
      <c r="D4" s="3" t="s">
        <v>23</v>
      </c>
      <c r="E4" s="3" t="s">
        <v>24</v>
      </c>
      <c r="F4" s="3" t="s">
        <v>25</v>
      </c>
      <c r="G4" s="5" t="s">
        <v>26</v>
      </c>
      <c r="H4" s="7" t="s">
        <v>27</v>
      </c>
    </row>
    <row r="5" spans="1:8" ht="28.8" customHeight="1" x14ac:dyDescent="0.3">
      <c r="A5" s="3" t="s">
        <v>28</v>
      </c>
      <c r="B5" s="3" t="s">
        <v>9</v>
      </c>
      <c r="C5" s="3" t="s">
        <v>29</v>
      </c>
      <c r="D5" s="3" t="s">
        <v>30</v>
      </c>
      <c r="E5" s="3" t="s">
        <v>31</v>
      </c>
      <c r="F5" s="3" t="s">
        <v>32</v>
      </c>
      <c r="G5" s="4" t="s">
        <v>14</v>
      </c>
      <c r="H5" s="6" t="s">
        <v>15</v>
      </c>
    </row>
    <row r="6" spans="1:8" ht="28.8" customHeight="1" x14ac:dyDescent="0.3">
      <c r="A6" s="3" t="s">
        <v>33</v>
      </c>
      <c r="B6" s="3" t="s">
        <v>9</v>
      </c>
      <c r="C6" s="3" t="s">
        <v>34</v>
      </c>
      <c r="D6" s="3" t="s">
        <v>35</v>
      </c>
      <c r="E6" s="3" t="s">
        <v>31</v>
      </c>
      <c r="F6" s="3" t="s">
        <v>36</v>
      </c>
      <c r="G6" s="4" t="s">
        <v>14</v>
      </c>
      <c r="H6" s="6" t="s">
        <v>15</v>
      </c>
    </row>
    <row r="7" spans="1:8" ht="43.2" customHeight="1" x14ac:dyDescent="0.3">
      <c r="A7" s="3" t="s">
        <v>37</v>
      </c>
      <c r="B7" s="3" t="s">
        <v>9</v>
      </c>
      <c r="C7" s="3" t="s">
        <v>38</v>
      </c>
      <c r="D7" s="3" t="s">
        <v>39</v>
      </c>
      <c r="E7" s="3" t="s">
        <v>19</v>
      </c>
      <c r="F7" s="3" t="s">
        <v>40</v>
      </c>
      <c r="G7" s="4" t="s">
        <v>14</v>
      </c>
      <c r="H7" s="6" t="s">
        <v>15</v>
      </c>
    </row>
    <row r="8" spans="1:8" ht="43.2" customHeight="1" x14ac:dyDescent="0.3">
      <c r="A8" s="3" t="s">
        <v>41</v>
      </c>
      <c r="B8" s="3" t="s">
        <v>9</v>
      </c>
      <c r="C8" s="3" t="s">
        <v>42</v>
      </c>
      <c r="D8" s="3" t="s">
        <v>43</v>
      </c>
      <c r="E8" s="3" t="s">
        <v>19</v>
      </c>
      <c r="F8" s="3" t="s">
        <v>44</v>
      </c>
      <c r="G8" s="4" t="s">
        <v>14</v>
      </c>
      <c r="H8" s="6" t="s">
        <v>15</v>
      </c>
    </row>
    <row r="9" spans="1:8" ht="28.8" customHeight="1" x14ac:dyDescent="0.3">
      <c r="A9" s="3" t="s">
        <v>45</v>
      </c>
      <c r="B9" s="3" t="s">
        <v>9</v>
      </c>
      <c r="C9" s="3" t="s">
        <v>46</v>
      </c>
      <c r="D9" s="3" t="s">
        <v>47</v>
      </c>
      <c r="E9" s="3" t="s">
        <v>48</v>
      </c>
      <c r="F9" s="3" t="s">
        <v>49</v>
      </c>
      <c r="G9" s="5" t="s">
        <v>26</v>
      </c>
      <c r="H9" s="7" t="s">
        <v>27</v>
      </c>
    </row>
    <row r="10" spans="1:8" ht="28.8" customHeight="1" x14ac:dyDescent="0.3">
      <c r="A10" s="3" t="s">
        <v>50</v>
      </c>
      <c r="B10" s="3" t="s">
        <v>9</v>
      </c>
      <c r="C10" s="3" t="s">
        <v>51</v>
      </c>
      <c r="D10" s="3" t="s">
        <v>52</v>
      </c>
      <c r="E10" s="3" t="s">
        <v>53</v>
      </c>
      <c r="F10" s="3" t="s">
        <v>54</v>
      </c>
      <c r="G10" s="5" t="s">
        <v>26</v>
      </c>
      <c r="H10" s="7" t="s">
        <v>27</v>
      </c>
    </row>
    <row r="11" spans="1:8" ht="28.8" customHeight="1" x14ac:dyDescent="0.3">
      <c r="A11" s="3" t="s">
        <v>55</v>
      </c>
      <c r="B11" s="3" t="s">
        <v>9</v>
      </c>
      <c r="C11" s="3" t="s">
        <v>56</v>
      </c>
      <c r="D11" s="3" t="s">
        <v>57</v>
      </c>
      <c r="E11" s="3" t="s">
        <v>12</v>
      </c>
      <c r="F11" s="3" t="s">
        <v>58</v>
      </c>
      <c r="G11" s="4" t="s">
        <v>14</v>
      </c>
      <c r="H11" s="6" t="s">
        <v>15</v>
      </c>
    </row>
    <row r="12" spans="1:8" ht="43.2" customHeight="1" x14ac:dyDescent="0.3">
      <c r="A12" s="3" t="s">
        <v>59</v>
      </c>
      <c r="B12" s="3" t="s">
        <v>9</v>
      </c>
      <c r="C12" s="3" t="s">
        <v>60</v>
      </c>
      <c r="D12" s="3" t="s">
        <v>61</v>
      </c>
      <c r="E12" s="3" t="s">
        <v>62</v>
      </c>
      <c r="F12" s="3" t="s">
        <v>63</v>
      </c>
      <c r="G12" s="5" t="s">
        <v>26</v>
      </c>
      <c r="H12" s="7" t="s">
        <v>64</v>
      </c>
    </row>
    <row r="13" spans="1:8" ht="28.8" customHeight="1" x14ac:dyDescent="0.3">
      <c r="A13" s="3" t="s">
        <v>65</v>
      </c>
      <c r="B13" s="3" t="s">
        <v>9</v>
      </c>
      <c r="C13" s="3" t="s">
        <v>66</v>
      </c>
      <c r="D13" s="3" t="s">
        <v>67</v>
      </c>
      <c r="E13" s="3" t="s">
        <v>68</v>
      </c>
      <c r="F13" s="3" t="s">
        <v>69</v>
      </c>
      <c r="G13" s="4" t="s">
        <v>14</v>
      </c>
      <c r="H13" s="6" t="s">
        <v>15</v>
      </c>
    </row>
    <row r="14" spans="1:8" ht="28.8" customHeight="1" x14ac:dyDescent="0.3">
      <c r="A14" s="3" t="s">
        <v>70</v>
      </c>
      <c r="B14" s="3" t="s">
        <v>9</v>
      </c>
      <c r="C14" s="3" t="s">
        <v>71</v>
      </c>
      <c r="D14" s="3" t="s">
        <v>72</v>
      </c>
      <c r="E14" s="3" t="s">
        <v>73</v>
      </c>
      <c r="F14" s="3" t="s">
        <v>74</v>
      </c>
      <c r="G14" s="5" t="s">
        <v>26</v>
      </c>
      <c r="H14" s="7" t="s">
        <v>27</v>
      </c>
    </row>
    <row r="15" spans="1:8" ht="43.2" customHeight="1" x14ac:dyDescent="0.3">
      <c r="A15" s="3" t="s">
        <v>75</v>
      </c>
      <c r="B15" s="3" t="s">
        <v>9</v>
      </c>
      <c r="C15" s="3" t="s">
        <v>76</v>
      </c>
      <c r="D15" s="3" t="s">
        <v>77</v>
      </c>
      <c r="E15" s="3" t="s">
        <v>78</v>
      </c>
      <c r="F15" s="3" t="s">
        <v>79</v>
      </c>
      <c r="G15" s="5" t="s">
        <v>26</v>
      </c>
      <c r="H15" s="7" t="s">
        <v>64</v>
      </c>
    </row>
    <row r="16" spans="1:8" ht="43.2" customHeight="1" x14ac:dyDescent="0.3">
      <c r="A16" s="3" t="s">
        <v>80</v>
      </c>
      <c r="B16" s="3" t="s">
        <v>9</v>
      </c>
      <c r="C16" s="3" t="s">
        <v>81</v>
      </c>
      <c r="D16" s="3" t="s">
        <v>82</v>
      </c>
      <c r="E16" s="3" t="s">
        <v>62</v>
      </c>
      <c r="F16" s="3" t="s">
        <v>83</v>
      </c>
      <c r="G16" s="5" t="s">
        <v>26</v>
      </c>
      <c r="H16" s="7" t="s">
        <v>64</v>
      </c>
    </row>
    <row r="17" spans="1:8" ht="43.2" customHeight="1" x14ac:dyDescent="0.3">
      <c r="A17" s="3" t="s">
        <v>84</v>
      </c>
      <c r="B17" s="3" t="s">
        <v>9</v>
      </c>
      <c r="C17" s="3" t="s">
        <v>85</v>
      </c>
      <c r="D17" s="3" t="s">
        <v>86</v>
      </c>
      <c r="E17" s="3" t="s">
        <v>87</v>
      </c>
      <c r="F17" s="3" t="s">
        <v>88</v>
      </c>
      <c r="G17" s="4" t="s">
        <v>14</v>
      </c>
      <c r="H17" s="6" t="s">
        <v>15</v>
      </c>
    </row>
    <row r="18" spans="1:8" ht="28.8" customHeight="1" x14ac:dyDescent="0.3">
      <c r="A18" s="3" t="s">
        <v>89</v>
      </c>
      <c r="B18" s="3" t="s">
        <v>9</v>
      </c>
      <c r="C18" s="3" t="s">
        <v>90</v>
      </c>
      <c r="D18" s="3" t="s">
        <v>91</v>
      </c>
      <c r="E18" s="3" t="s">
        <v>92</v>
      </c>
      <c r="F18" s="3" t="s">
        <v>93</v>
      </c>
      <c r="G18" s="4" t="s">
        <v>14</v>
      </c>
      <c r="H18" s="6" t="s">
        <v>15</v>
      </c>
    </row>
    <row r="19" spans="1:8" ht="28.8" customHeight="1" x14ac:dyDescent="0.3">
      <c r="A19" s="3" t="s">
        <v>94</v>
      </c>
      <c r="B19" s="3" t="s">
        <v>9</v>
      </c>
      <c r="C19" s="3" t="s">
        <v>95</v>
      </c>
      <c r="D19" s="3" t="s">
        <v>96</v>
      </c>
      <c r="E19" s="3" t="s">
        <v>92</v>
      </c>
      <c r="F19" s="3" t="s">
        <v>97</v>
      </c>
      <c r="G19" s="4" t="s">
        <v>14</v>
      </c>
      <c r="H19" s="6" t="s">
        <v>15</v>
      </c>
    </row>
    <row r="20" spans="1:8" ht="28.8" customHeight="1" x14ac:dyDescent="0.3">
      <c r="A20" s="3" t="s">
        <v>98</v>
      </c>
      <c r="B20" s="3" t="s">
        <v>9</v>
      </c>
      <c r="C20" s="3" t="s">
        <v>99</v>
      </c>
      <c r="D20" s="3" t="s">
        <v>100</v>
      </c>
      <c r="E20" s="3" t="s">
        <v>101</v>
      </c>
      <c r="F20" s="3" t="s">
        <v>102</v>
      </c>
      <c r="G20" s="4" t="s">
        <v>14</v>
      </c>
      <c r="H20" s="6" t="s">
        <v>15</v>
      </c>
    </row>
    <row r="21" spans="1:8" ht="28.8" customHeight="1" x14ac:dyDescent="0.3">
      <c r="A21" s="3" t="s">
        <v>103</v>
      </c>
      <c r="B21" s="3" t="s">
        <v>9</v>
      </c>
      <c r="C21" s="3" t="s">
        <v>104</v>
      </c>
      <c r="D21" s="3" t="s">
        <v>105</v>
      </c>
      <c r="E21" s="3" t="s">
        <v>106</v>
      </c>
      <c r="F21" s="3" t="s">
        <v>107</v>
      </c>
      <c r="G21" s="4" t="s">
        <v>14</v>
      </c>
      <c r="H21" s="6" t="s">
        <v>15</v>
      </c>
    </row>
    <row r="22" spans="1:8" ht="28.8" customHeight="1" x14ac:dyDescent="0.3">
      <c r="A22" s="3" t="s">
        <v>108</v>
      </c>
      <c r="B22" s="3" t="s">
        <v>9</v>
      </c>
      <c r="C22" s="3" t="s">
        <v>109</v>
      </c>
      <c r="D22" s="3" t="s">
        <v>110</v>
      </c>
      <c r="E22" s="3" t="s">
        <v>24</v>
      </c>
      <c r="F22" s="3" t="s">
        <v>111</v>
      </c>
      <c r="G22" s="5" t="s">
        <v>26</v>
      </c>
      <c r="H22" s="7" t="s">
        <v>27</v>
      </c>
    </row>
    <row r="23" spans="1:8" ht="43.2" customHeight="1" x14ac:dyDescent="0.3">
      <c r="A23" s="3" t="s">
        <v>112</v>
      </c>
      <c r="B23" s="3" t="s">
        <v>9</v>
      </c>
      <c r="C23" s="3" t="s">
        <v>113</v>
      </c>
      <c r="D23" s="3" t="s">
        <v>114</v>
      </c>
      <c r="E23" s="3" t="s">
        <v>19</v>
      </c>
      <c r="F23" s="3" t="s">
        <v>115</v>
      </c>
      <c r="G23" s="5" t="s">
        <v>26</v>
      </c>
      <c r="H23" s="7" t="s">
        <v>27</v>
      </c>
    </row>
    <row r="24" spans="1:8" ht="57.6" customHeight="1" x14ac:dyDescent="0.3">
      <c r="A24" s="3" t="s">
        <v>116</v>
      </c>
      <c r="B24" s="3" t="s">
        <v>9</v>
      </c>
      <c r="C24" s="3" t="s">
        <v>117</v>
      </c>
      <c r="D24" s="3" t="s">
        <v>118</v>
      </c>
      <c r="E24" s="3" t="s">
        <v>119</v>
      </c>
      <c r="F24" s="3" t="s">
        <v>120</v>
      </c>
      <c r="G24" s="5" t="s">
        <v>26</v>
      </c>
      <c r="H24" s="7" t="s">
        <v>27</v>
      </c>
    </row>
    <row r="25" spans="1:8" ht="28.8" customHeight="1" x14ac:dyDescent="0.3">
      <c r="A25" s="3" t="s">
        <v>121</v>
      </c>
      <c r="B25" s="3" t="s">
        <v>9</v>
      </c>
      <c r="C25" s="3" t="s">
        <v>122</v>
      </c>
      <c r="D25" s="3" t="s">
        <v>123</v>
      </c>
      <c r="E25" s="3" t="s">
        <v>31</v>
      </c>
      <c r="F25" s="3" t="s">
        <v>32</v>
      </c>
      <c r="G25" s="4" t="s">
        <v>14</v>
      </c>
      <c r="H25" s="6" t="s">
        <v>15</v>
      </c>
    </row>
    <row r="26" spans="1:8" ht="28.8" customHeight="1" x14ac:dyDescent="0.3">
      <c r="A26" s="3" t="s">
        <v>124</v>
      </c>
      <c r="B26" s="3" t="s">
        <v>9</v>
      </c>
      <c r="C26" s="3" t="s">
        <v>125</v>
      </c>
      <c r="D26" s="3" t="s">
        <v>126</v>
      </c>
      <c r="E26" s="3" t="s">
        <v>48</v>
      </c>
      <c r="F26" s="3" t="s">
        <v>127</v>
      </c>
      <c r="G26" s="5" t="s">
        <v>26</v>
      </c>
      <c r="H26" s="7" t="s">
        <v>27</v>
      </c>
    </row>
    <row r="27" spans="1:8" ht="43.2" customHeight="1" x14ac:dyDescent="0.3">
      <c r="A27" s="3" t="s">
        <v>128</v>
      </c>
      <c r="B27" s="3" t="s">
        <v>9</v>
      </c>
      <c r="C27" s="3" t="s">
        <v>129</v>
      </c>
      <c r="D27" s="3" t="s">
        <v>130</v>
      </c>
      <c r="E27" s="3" t="s">
        <v>19</v>
      </c>
      <c r="F27" s="3" t="s">
        <v>44</v>
      </c>
      <c r="G27" s="4" t="s">
        <v>14</v>
      </c>
      <c r="H27" s="6" t="s">
        <v>15</v>
      </c>
    </row>
    <row r="28" spans="1:8" ht="28.8" customHeight="1" x14ac:dyDescent="0.3">
      <c r="A28" s="3" t="s">
        <v>131</v>
      </c>
      <c r="B28" s="3" t="s">
        <v>9</v>
      </c>
      <c r="C28" s="3" t="s">
        <v>132</v>
      </c>
      <c r="D28" s="3" t="s">
        <v>133</v>
      </c>
      <c r="E28" s="3" t="s">
        <v>31</v>
      </c>
      <c r="F28" s="3" t="s">
        <v>36</v>
      </c>
      <c r="G28" s="4" t="s">
        <v>14</v>
      </c>
      <c r="H28" s="6" t="s">
        <v>15</v>
      </c>
    </row>
    <row r="29" spans="1:8" ht="43.2" customHeight="1" x14ac:dyDescent="0.3">
      <c r="A29" s="3" t="s">
        <v>134</v>
      </c>
      <c r="B29" s="3" t="s">
        <v>9</v>
      </c>
      <c r="C29" s="3" t="s">
        <v>135</v>
      </c>
      <c r="D29" s="3" t="s">
        <v>136</v>
      </c>
      <c r="E29" s="3" t="s">
        <v>62</v>
      </c>
      <c r="F29" s="3" t="s">
        <v>63</v>
      </c>
      <c r="G29" s="5" t="s">
        <v>26</v>
      </c>
      <c r="H29" s="7" t="s">
        <v>64</v>
      </c>
    </row>
    <row r="30" spans="1:8" ht="43.2" customHeight="1" x14ac:dyDescent="0.3">
      <c r="A30" s="3" t="s">
        <v>137</v>
      </c>
      <c r="B30" s="3" t="s">
        <v>9</v>
      </c>
      <c r="C30" s="3" t="s">
        <v>138</v>
      </c>
      <c r="D30" s="3" t="s">
        <v>139</v>
      </c>
      <c r="E30" s="3" t="s">
        <v>119</v>
      </c>
      <c r="F30" s="3" t="s">
        <v>140</v>
      </c>
      <c r="G30" s="4" t="s">
        <v>14</v>
      </c>
      <c r="H30" s="6" t="s">
        <v>15</v>
      </c>
    </row>
    <row r="31" spans="1:8" ht="57.6" customHeight="1" x14ac:dyDescent="0.3">
      <c r="A31" s="3" t="s">
        <v>141</v>
      </c>
      <c r="B31" s="3" t="s">
        <v>9</v>
      </c>
      <c r="C31" s="3" t="s">
        <v>142</v>
      </c>
      <c r="D31" s="3" t="s">
        <v>143</v>
      </c>
      <c r="E31" s="3" t="s">
        <v>144</v>
      </c>
      <c r="F31" s="3" t="s">
        <v>145</v>
      </c>
      <c r="G31" s="5" t="s">
        <v>26</v>
      </c>
      <c r="H31" s="7" t="s">
        <v>27</v>
      </c>
    </row>
    <row r="32" spans="1:8" ht="28.8" customHeight="1" x14ac:dyDescent="0.3">
      <c r="A32" s="3" t="s">
        <v>146</v>
      </c>
      <c r="B32" s="3" t="s">
        <v>9</v>
      </c>
      <c r="C32" s="3" t="s">
        <v>147</v>
      </c>
      <c r="D32" s="3" t="s">
        <v>148</v>
      </c>
      <c r="E32" s="3" t="s">
        <v>101</v>
      </c>
      <c r="F32" s="3" t="s">
        <v>149</v>
      </c>
      <c r="G32" s="4" t="s">
        <v>14</v>
      </c>
      <c r="H32" s="6" t="s">
        <v>15</v>
      </c>
    </row>
    <row r="33" spans="1:8" ht="28.8" customHeight="1" x14ac:dyDescent="0.3">
      <c r="A33" s="3" t="s">
        <v>150</v>
      </c>
      <c r="B33" s="3" t="s">
        <v>9</v>
      </c>
      <c r="C33" s="3" t="s">
        <v>151</v>
      </c>
      <c r="D33" s="3" t="s">
        <v>152</v>
      </c>
      <c r="E33" s="3" t="s">
        <v>24</v>
      </c>
      <c r="F33" s="3" t="s">
        <v>153</v>
      </c>
      <c r="G33" s="5" t="s">
        <v>26</v>
      </c>
      <c r="H33" s="7" t="s">
        <v>27</v>
      </c>
    </row>
    <row r="34" spans="1:8" ht="57.6" customHeight="1" x14ac:dyDescent="0.3">
      <c r="A34" s="3" t="s">
        <v>154</v>
      </c>
      <c r="B34" s="3" t="s">
        <v>9</v>
      </c>
      <c r="C34" s="3" t="s">
        <v>155</v>
      </c>
      <c r="D34" s="3" t="s">
        <v>156</v>
      </c>
      <c r="E34" s="3" t="s">
        <v>19</v>
      </c>
      <c r="F34" s="3" t="s">
        <v>157</v>
      </c>
      <c r="G34" s="5" t="s">
        <v>26</v>
      </c>
      <c r="H34" s="7" t="s">
        <v>27</v>
      </c>
    </row>
    <row r="35" spans="1:8" ht="43.2" customHeight="1" x14ac:dyDescent="0.3">
      <c r="A35" s="3" t="s">
        <v>158</v>
      </c>
      <c r="B35" s="3" t="s">
        <v>9</v>
      </c>
      <c r="C35" s="3" t="s">
        <v>159</v>
      </c>
      <c r="D35" s="3" t="s">
        <v>160</v>
      </c>
      <c r="E35" s="3" t="s">
        <v>161</v>
      </c>
      <c r="F35" s="3" t="s">
        <v>162</v>
      </c>
      <c r="G35" s="4" t="s">
        <v>14</v>
      </c>
      <c r="H35" s="6" t="s">
        <v>15</v>
      </c>
    </row>
    <row r="36" spans="1:8" ht="43.2" customHeight="1" x14ac:dyDescent="0.3">
      <c r="A36" s="3" t="s">
        <v>163</v>
      </c>
      <c r="B36" s="3" t="s">
        <v>9</v>
      </c>
      <c r="C36" s="3" t="s">
        <v>164</v>
      </c>
      <c r="D36" s="3" t="s">
        <v>165</v>
      </c>
      <c r="E36" s="3" t="s">
        <v>119</v>
      </c>
      <c r="F36" s="3" t="s">
        <v>166</v>
      </c>
      <c r="G36" s="4" t="s">
        <v>14</v>
      </c>
      <c r="H36" s="6" t="s">
        <v>15</v>
      </c>
    </row>
    <row r="37" spans="1:8" ht="43.2" customHeight="1" x14ac:dyDescent="0.3">
      <c r="A37" s="3" t="s">
        <v>167</v>
      </c>
      <c r="B37" s="3" t="s">
        <v>9</v>
      </c>
      <c r="C37" s="3" t="s">
        <v>168</v>
      </c>
      <c r="D37" s="3" t="s">
        <v>169</v>
      </c>
      <c r="E37" s="3" t="s">
        <v>170</v>
      </c>
      <c r="F37" s="3" t="s">
        <v>74</v>
      </c>
      <c r="G37" s="5" t="s">
        <v>26</v>
      </c>
      <c r="H37" s="7" t="s">
        <v>27</v>
      </c>
    </row>
    <row r="38" spans="1:8" ht="28.8" customHeight="1" x14ac:dyDescent="0.3">
      <c r="A38" s="3" t="s">
        <v>171</v>
      </c>
      <c r="B38" s="3" t="s">
        <v>9</v>
      </c>
      <c r="C38" s="3" t="s">
        <v>172</v>
      </c>
      <c r="D38" s="3" t="s">
        <v>173</v>
      </c>
      <c r="E38" s="3" t="s">
        <v>24</v>
      </c>
      <c r="F38" s="3" t="s">
        <v>174</v>
      </c>
      <c r="G38" s="5" t="s">
        <v>26</v>
      </c>
      <c r="H38" s="7" t="s">
        <v>27</v>
      </c>
    </row>
    <row r="39" spans="1:8" ht="43.2" customHeight="1" x14ac:dyDescent="0.3">
      <c r="A39" s="3" t="s">
        <v>175</v>
      </c>
      <c r="B39" s="3" t="s">
        <v>9</v>
      </c>
      <c r="C39" s="3" t="s">
        <v>176</v>
      </c>
      <c r="D39" s="3" t="s">
        <v>177</v>
      </c>
      <c r="E39" s="3" t="s">
        <v>19</v>
      </c>
      <c r="F39" s="3" t="s">
        <v>178</v>
      </c>
      <c r="G39" s="5" t="s">
        <v>26</v>
      </c>
      <c r="H39" s="7" t="s">
        <v>27</v>
      </c>
    </row>
    <row r="40" spans="1:8" ht="43.2" customHeight="1" x14ac:dyDescent="0.3">
      <c r="A40" s="3" t="s">
        <v>179</v>
      </c>
      <c r="B40" s="3" t="s">
        <v>9</v>
      </c>
      <c r="C40" s="3" t="s">
        <v>180</v>
      </c>
      <c r="D40" s="3" t="s">
        <v>181</v>
      </c>
      <c r="E40" s="3" t="s">
        <v>19</v>
      </c>
      <c r="F40" s="3" t="s">
        <v>182</v>
      </c>
      <c r="G40" s="4" t="s">
        <v>14</v>
      </c>
      <c r="H40" s="6" t="s">
        <v>15</v>
      </c>
    </row>
    <row r="41" spans="1:8" ht="28.8" customHeight="1" x14ac:dyDescent="0.3">
      <c r="A41" s="3" t="s">
        <v>183</v>
      </c>
      <c r="B41" s="3" t="s">
        <v>9</v>
      </c>
      <c r="C41" s="3" t="s">
        <v>184</v>
      </c>
      <c r="D41" s="3" t="s">
        <v>185</v>
      </c>
      <c r="E41" s="3" t="s">
        <v>101</v>
      </c>
      <c r="F41" s="3" t="s">
        <v>186</v>
      </c>
      <c r="G41" s="4" t="s">
        <v>14</v>
      </c>
      <c r="H41" s="6" t="s">
        <v>15</v>
      </c>
    </row>
    <row r="42" spans="1:8" ht="43.2" customHeight="1" x14ac:dyDescent="0.3">
      <c r="A42" s="3" t="s">
        <v>187</v>
      </c>
      <c r="B42" s="3" t="s">
        <v>9</v>
      </c>
      <c r="C42" s="3" t="s">
        <v>188</v>
      </c>
      <c r="D42" s="3" t="s">
        <v>189</v>
      </c>
      <c r="E42" s="3" t="s">
        <v>190</v>
      </c>
      <c r="F42" s="3" t="s">
        <v>191</v>
      </c>
      <c r="G42" s="5" t="s">
        <v>26</v>
      </c>
      <c r="H42" s="7" t="s">
        <v>64</v>
      </c>
    </row>
    <row r="43" spans="1:8" ht="43.2" customHeight="1" x14ac:dyDescent="0.3">
      <c r="A43" s="3" t="s">
        <v>192</v>
      </c>
      <c r="B43" s="3" t="s">
        <v>9</v>
      </c>
      <c r="C43" s="3" t="s">
        <v>193</v>
      </c>
      <c r="D43" s="3" t="s">
        <v>194</v>
      </c>
      <c r="E43" s="3" t="s">
        <v>195</v>
      </c>
      <c r="F43" s="3" t="s">
        <v>196</v>
      </c>
      <c r="G43" s="5" t="s">
        <v>26</v>
      </c>
      <c r="H43" s="7" t="s">
        <v>27</v>
      </c>
    </row>
    <row r="44" spans="1:8" ht="43.2" customHeight="1" x14ac:dyDescent="0.3">
      <c r="A44" s="3" t="s">
        <v>197</v>
      </c>
      <c r="B44" s="3" t="s">
        <v>9</v>
      </c>
      <c r="C44" s="3" t="s">
        <v>198</v>
      </c>
      <c r="D44" s="3" t="s">
        <v>199</v>
      </c>
      <c r="E44" s="3" t="s">
        <v>200</v>
      </c>
      <c r="F44" s="3" t="s">
        <v>201</v>
      </c>
      <c r="G44" s="5" t="s">
        <v>26</v>
      </c>
      <c r="H44" s="7" t="s">
        <v>27</v>
      </c>
    </row>
    <row r="45" spans="1:8" ht="43.2" customHeight="1" x14ac:dyDescent="0.3">
      <c r="A45" s="3" t="s">
        <v>202</v>
      </c>
      <c r="B45" s="3" t="s">
        <v>9</v>
      </c>
      <c r="C45" s="3" t="s">
        <v>203</v>
      </c>
      <c r="D45" s="3" t="s">
        <v>204</v>
      </c>
      <c r="E45" s="3" t="s">
        <v>205</v>
      </c>
      <c r="F45" s="3" t="s">
        <v>206</v>
      </c>
      <c r="G45" s="5" t="s">
        <v>26</v>
      </c>
      <c r="H45" s="7" t="s">
        <v>27</v>
      </c>
    </row>
    <row r="46" spans="1:8" ht="43.2" customHeight="1" x14ac:dyDescent="0.3">
      <c r="A46" s="3" t="s">
        <v>207</v>
      </c>
      <c r="B46" s="3" t="s">
        <v>9</v>
      </c>
      <c r="C46" s="3" t="s">
        <v>208</v>
      </c>
      <c r="D46" s="3" t="s">
        <v>209</v>
      </c>
      <c r="E46" s="3" t="s">
        <v>210</v>
      </c>
      <c r="F46" s="3" t="s">
        <v>211</v>
      </c>
      <c r="G46" s="5" t="s">
        <v>26</v>
      </c>
      <c r="H46" s="7" t="s">
        <v>64</v>
      </c>
    </row>
    <row r="47" spans="1:8" ht="28.8" customHeight="1" x14ac:dyDescent="0.3">
      <c r="A47" s="3" t="s">
        <v>212</v>
      </c>
      <c r="B47" s="3" t="s">
        <v>9</v>
      </c>
      <c r="C47" s="3" t="s">
        <v>213</v>
      </c>
      <c r="D47" s="3" t="s">
        <v>214</v>
      </c>
      <c r="E47" s="3" t="s">
        <v>53</v>
      </c>
      <c r="F47" s="3" t="s">
        <v>215</v>
      </c>
      <c r="G47" s="5" t="s">
        <v>26</v>
      </c>
      <c r="H47" s="7" t="s">
        <v>27</v>
      </c>
    </row>
    <row r="48" spans="1:8" ht="28.8" customHeight="1" x14ac:dyDescent="0.3">
      <c r="A48" s="3" t="s">
        <v>216</v>
      </c>
      <c r="B48" s="3" t="s">
        <v>9</v>
      </c>
      <c r="C48" s="3" t="s">
        <v>217</v>
      </c>
      <c r="D48" s="3" t="s">
        <v>218</v>
      </c>
      <c r="E48" s="3" t="s">
        <v>53</v>
      </c>
      <c r="F48" s="3" t="s">
        <v>219</v>
      </c>
      <c r="G48" s="5" t="s">
        <v>26</v>
      </c>
      <c r="H48" s="7" t="s">
        <v>27</v>
      </c>
    </row>
    <row r="49" spans="1:8" ht="28.8" customHeight="1" x14ac:dyDescent="0.3">
      <c r="A49" s="3" t="s">
        <v>220</v>
      </c>
      <c r="B49" s="3" t="s">
        <v>9</v>
      </c>
      <c r="C49" s="3" t="s">
        <v>221</v>
      </c>
      <c r="D49" s="3" t="s">
        <v>222</v>
      </c>
      <c r="E49" s="3" t="s">
        <v>119</v>
      </c>
      <c r="F49" s="3" t="s">
        <v>223</v>
      </c>
      <c r="G49" s="4" t="s">
        <v>14</v>
      </c>
      <c r="H49" s="6" t="s">
        <v>15</v>
      </c>
    </row>
    <row r="50" spans="1:8" ht="43.2" customHeight="1" x14ac:dyDescent="0.3">
      <c r="A50" s="3" t="s">
        <v>224</v>
      </c>
      <c r="B50" s="3" t="s">
        <v>9</v>
      </c>
      <c r="C50" s="3" t="s">
        <v>225</v>
      </c>
      <c r="D50" s="3" t="s">
        <v>226</v>
      </c>
      <c r="E50" s="3" t="s">
        <v>68</v>
      </c>
      <c r="F50" s="3" t="s">
        <v>227</v>
      </c>
      <c r="G50" s="4" t="s">
        <v>14</v>
      </c>
      <c r="H50" s="6" t="s">
        <v>15</v>
      </c>
    </row>
    <row r="51" spans="1:8" ht="28.8" customHeight="1" x14ac:dyDescent="0.3">
      <c r="A51" s="3" t="s">
        <v>228</v>
      </c>
      <c r="B51" s="3" t="s">
        <v>9</v>
      </c>
      <c r="C51" s="3" t="s">
        <v>229</v>
      </c>
      <c r="D51" s="3" t="s">
        <v>230</v>
      </c>
      <c r="E51" s="3" t="s">
        <v>53</v>
      </c>
      <c r="F51" s="3" t="s">
        <v>231</v>
      </c>
      <c r="G51" s="5" t="s">
        <v>26</v>
      </c>
      <c r="H51" s="7" t="s">
        <v>27</v>
      </c>
    </row>
    <row r="52" spans="1:8" ht="43.2" customHeight="1" x14ac:dyDescent="0.3">
      <c r="A52" s="3" t="s">
        <v>232</v>
      </c>
      <c r="B52" s="3" t="s">
        <v>9</v>
      </c>
      <c r="C52" s="3" t="s">
        <v>233</v>
      </c>
      <c r="D52" s="3" t="s">
        <v>234</v>
      </c>
      <c r="E52" s="3" t="s">
        <v>200</v>
      </c>
      <c r="F52" s="3" t="s">
        <v>235</v>
      </c>
      <c r="G52" s="5" t="s">
        <v>26</v>
      </c>
      <c r="H52" s="7" t="s">
        <v>27</v>
      </c>
    </row>
    <row r="53" spans="1:8" ht="43.2" customHeight="1" x14ac:dyDescent="0.3">
      <c r="A53" s="3" t="s">
        <v>236</v>
      </c>
      <c r="B53" s="3" t="s">
        <v>9</v>
      </c>
      <c r="C53" s="3" t="s">
        <v>237</v>
      </c>
      <c r="D53" s="3" t="s">
        <v>238</v>
      </c>
      <c r="E53" s="3" t="s">
        <v>19</v>
      </c>
      <c r="F53" s="3" t="s">
        <v>239</v>
      </c>
      <c r="G53" s="5" t="s">
        <v>26</v>
      </c>
      <c r="H53" s="7" t="s">
        <v>27</v>
      </c>
    </row>
    <row r="54" spans="1:8" ht="28.8" customHeight="1" x14ac:dyDescent="0.3">
      <c r="A54" s="9" t="s">
        <v>240</v>
      </c>
      <c r="B54" s="9" t="s">
        <v>241</v>
      </c>
      <c r="C54" s="9" t="s">
        <v>10</v>
      </c>
      <c r="D54" s="9" t="s">
        <v>11</v>
      </c>
      <c r="E54" s="3" t="s">
        <v>12</v>
      </c>
      <c r="F54" s="3" t="s">
        <v>13</v>
      </c>
      <c r="G54" s="10" t="s">
        <v>14</v>
      </c>
      <c r="H54" s="11" t="s">
        <v>15</v>
      </c>
    </row>
    <row r="55" spans="1:8" ht="43.2" customHeight="1" x14ac:dyDescent="0.3">
      <c r="A55" s="9" t="s">
        <v>242</v>
      </c>
      <c r="B55" s="9" t="s">
        <v>241</v>
      </c>
      <c r="C55" s="9" t="s">
        <v>17</v>
      </c>
      <c r="D55" s="9" t="s">
        <v>18</v>
      </c>
      <c r="E55" s="3" t="s">
        <v>19</v>
      </c>
      <c r="F55" s="3" t="s">
        <v>20</v>
      </c>
      <c r="G55" s="10" t="s">
        <v>14</v>
      </c>
      <c r="H55" s="11" t="s">
        <v>15</v>
      </c>
    </row>
    <row r="56" spans="1:8" ht="28.8" customHeight="1" x14ac:dyDescent="0.3">
      <c r="A56" s="9" t="s">
        <v>243</v>
      </c>
      <c r="B56" s="9" t="s">
        <v>241</v>
      </c>
      <c r="C56" s="9" t="s">
        <v>22</v>
      </c>
      <c r="D56" s="9" t="s">
        <v>23</v>
      </c>
      <c r="E56" s="3" t="s">
        <v>24</v>
      </c>
      <c r="F56" s="3" t="s">
        <v>25</v>
      </c>
      <c r="G56" s="10" t="s">
        <v>14</v>
      </c>
      <c r="H56" s="11" t="s">
        <v>15</v>
      </c>
    </row>
    <row r="57" spans="1:8" ht="28.8" customHeight="1" x14ac:dyDescent="0.3">
      <c r="A57" s="9" t="s">
        <v>244</v>
      </c>
      <c r="B57" s="9" t="s">
        <v>241</v>
      </c>
      <c r="C57" s="9" t="s">
        <v>29</v>
      </c>
      <c r="D57" s="9" t="s">
        <v>30</v>
      </c>
      <c r="E57" s="3" t="s">
        <v>31</v>
      </c>
      <c r="F57" s="3" t="s">
        <v>32</v>
      </c>
      <c r="G57" s="10" t="s">
        <v>14</v>
      </c>
      <c r="H57" s="11" t="s">
        <v>15</v>
      </c>
    </row>
    <row r="58" spans="1:8" ht="28.8" customHeight="1" x14ac:dyDescent="0.3">
      <c r="A58" s="9" t="s">
        <v>245</v>
      </c>
      <c r="B58" s="9" t="s">
        <v>241</v>
      </c>
      <c r="C58" s="9" t="s">
        <v>34</v>
      </c>
      <c r="D58" s="9" t="s">
        <v>35</v>
      </c>
      <c r="E58" s="3" t="s">
        <v>31</v>
      </c>
      <c r="F58" s="3" t="s">
        <v>36</v>
      </c>
      <c r="G58" s="10" t="s">
        <v>14</v>
      </c>
      <c r="H58" s="11" t="s">
        <v>15</v>
      </c>
    </row>
    <row r="59" spans="1:8" ht="43.2" customHeight="1" x14ac:dyDescent="0.3">
      <c r="A59" s="9" t="s">
        <v>246</v>
      </c>
      <c r="B59" s="9" t="s">
        <v>241</v>
      </c>
      <c r="C59" s="9" t="s">
        <v>38</v>
      </c>
      <c r="D59" s="9" t="s">
        <v>39</v>
      </c>
      <c r="E59" s="3" t="s">
        <v>19</v>
      </c>
      <c r="F59" s="3" t="s">
        <v>40</v>
      </c>
      <c r="G59" s="10" t="s">
        <v>14</v>
      </c>
      <c r="H59" s="11" t="s">
        <v>15</v>
      </c>
    </row>
    <row r="60" spans="1:8" ht="43.2" customHeight="1" x14ac:dyDescent="0.3">
      <c r="A60" s="9" t="s">
        <v>247</v>
      </c>
      <c r="B60" s="9" t="s">
        <v>241</v>
      </c>
      <c r="C60" s="9" t="s">
        <v>42</v>
      </c>
      <c r="D60" s="9" t="s">
        <v>43</v>
      </c>
      <c r="E60" s="3" t="s">
        <v>19</v>
      </c>
      <c r="F60" s="3" t="s">
        <v>44</v>
      </c>
      <c r="G60" s="10" t="s">
        <v>14</v>
      </c>
      <c r="H60" s="11" t="s">
        <v>15</v>
      </c>
    </row>
    <row r="61" spans="1:8" ht="28.8" customHeight="1" x14ac:dyDescent="0.3">
      <c r="A61" s="9" t="s">
        <v>248</v>
      </c>
      <c r="B61" s="9" t="s">
        <v>241</v>
      </c>
      <c r="C61" s="9" t="s">
        <v>46</v>
      </c>
      <c r="D61" s="9" t="s">
        <v>47</v>
      </c>
      <c r="E61" s="3" t="s">
        <v>48</v>
      </c>
      <c r="F61" s="3" t="s">
        <v>49</v>
      </c>
      <c r="G61" s="10" t="s">
        <v>14</v>
      </c>
      <c r="H61" s="11" t="s">
        <v>15</v>
      </c>
    </row>
    <row r="62" spans="1:8" ht="28.8" customHeight="1" x14ac:dyDescent="0.3">
      <c r="A62" s="9" t="s">
        <v>249</v>
      </c>
      <c r="B62" s="9" t="s">
        <v>241</v>
      </c>
      <c r="C62" s="9" t="s">
        <v>51</v>
      </c>
      <c r="D62" s="9" t="s">
        <v>52</v>
      </c>
      <c r="E62" s="3" t="s">
        <v>53</v>
      </c>
      <c r="F62" s="3" t="s">
        <v>54</v>
      </c>
      <c r="G62" s="10" t="s">
        <v>14</v>
      </c>
      <c r="H62" s="11" t="s">
        <v>15</v>
      </c>
    </row>
    <row r="63" spans="1:8" ht="28.8" customHeight="1" x14ac:dyDescent="0.3">
      <c r="A63" s="9" t="s">
        <v>250</v>
      </c>
      <c r="B63" s="9" t="s">
        <v>241</v>
      </c>
      <c r="C63" s="9" t="s">
        <v>56</v>
      </c>
      <c r="D63" s="9" t="s">
        <v>57</v>
      </c>
      <c r="E63" s="3" t="s">
        <v>12</v>
      </c>
      <c r="F63" s="3" t="s">
        <v>58</v>
      </c>
      <c r="G63" s="12" t="s">
        <v>26</v>
      </c>
      <c r="H63" s="13" t="s">
        <v>64</v>
      </c>
    </row>
    <row r="64" spans="1:8" ht="43.2" customHeight="1" x14ac:dyDescent="0.3">
      <c r="A64" s="9" t="s">
        <v>251</v>
      </c>
      <c r="B64" s="9" t="s">
        <v>241</v>
      </c>
      <c r="C64" s="9" t="s">
        <v>60</v>
      </c>
      <c r="D64" s="9" t="s">
        <v>61</v>
      </c>
      <c r="E64" s="3" t="s">
        <v>62</v>
      </c>
      <c r="F64" s="3" t="s">
        <v>63</v>
      </c>
      <c r="G64" s="10" t="s">
        <v>14</v>
      </c>
      <c r="H64" s="11" t="s">
        <v>15</v>
      </c>
    </row>
    <row r="65" spans="1:8" ht="43.2" customHeight="1" x14ac:dyDescent="0.3">
      <c r="A65" s="9" t="s">
        <v>252</v>
      </c>
      <c r="B65" s="9" t="s">
        <v>241</v>
      </c>
      <c r="C65" s="9" t="s">
        <v>66</v>
      </c>
      <c r="D65" s="9" t="s">
        <v>67</v>
      </c>
      <c r="E65" s="3" t="s">
        <v>68</v>
      </c>
      <c r="F65" s="3" t="s">
        <v>69</v>
      </c>
      <c r="G65" s="12" t="s">
        <v>26</v>
      </c>
      <c r="H65" s="13" t="s">
        <v>64</v>
      </c>
    </row>
    <row r="66" spans="1:8" ht="28.8" customHeight="1" x14ac:dyDescent="0.3">
      <c r="A66" s="9" t="s">
        <v>253</v>
      </c>
      <c r="B66" s="9" t="s">
        <v>241</v>
      </c>
      <c r="C66" s="9" t="s">
        <v>71</v>
      </c>
      <c r="D66" s="9" t="s">
        <v>72</v>
      </c>
      <c r="E66" s="3" t="s">
        <v>73</v>
      </c>
      <c r="F66" s="3" t="s">
        <v>74</v>
      </c>
      <c r="G66" s="10" t="s">
        <v>14</v>
      </c>
      <c r="H66" s="11" t="s">
        <v>15</v>
      </c>
    </row>
    <row r="67" spans="1:8" ht="43.2" customHeight="1" x14ac:dyDescent="0.3">
      <c r="A67" s="9" t="s">
        <v>254</v>
      </c>
      <c r="B67" s="9" t="s">
        <v>241</v>
      </c>
      <c r="C67" s="9" t="s">
        <v>76</v>
      </c>
      <c r="D67" s="9" t="s">
        <v>77</v>
      </c>
      <c r="E67" s="3" t="s">
        <v>78</v>
      </c>
      <c r="F67" s="3" t="s">
        <v>79</v>
      </c>
      <c r="G67" s="10" t="s">
        <v>14</v>
      </c>
      <c r="H67" s="11" t="s">
        <v>15</v>
      </c>
    </row>
    <row r="68" spans="1:8" ht="43.2" customHeight="1" x14ac:dyDescent="0.3">
      <c r="A68" s="9" t="s">
        <v>255</v>
      </c>
      <c r="B68" s="9" t="s">
        <v>241</v>
      </c>
      <c r="C68" s="9" t="s">
        <v>81</v>
      </c>
      <c r="D68" s="9" t="s">
        <v>82</v>
      </c>
      <c r="E68" s="3" t="s">
        <v>62</v>
      </c>
      <c r="F68" s="3" t="s">
        <v>83</v>
      </c>
      <c r="G68" s="10" t="s">
        <v>14</v>
      </c>
      <c r="H68" s="11" t="s">
        <v>15</v>
      </c>
    </row>
    <row r="69" spans="1:8" ht="43.2" customHeight="1" x14ac:dyDescent="0.3">
      <c r="A69" s="9" t="s">
        <v>256</v>
      </c>
      <c r="B69" s="9" t="s">
        <v>241</v>
      </c>
      <c r="C69" s="9" t="s">
        <v>85</v>
      </c>
      <c r="D69" s="9" t="s">
        <v>86</v>
      </c>
      <c r="E69" s="3" t="s">
        <v>87</v>
      </c>
      <c r="F69" s="3" t="s">
        <v>88</v>
      </c>
      <c r="G69" s="10" t="s">
        <v>14</v>
      </c>
      <c r="H69" s="11" t="s">
        <v>15</v>
      </c>
    </row>
    <row r="70" spans="1:8" ht="43.2" customHeight="1" x14ac:dyDescent="0.3">
      <c r="A70" s="9" t="s">
        <v>257</v>
      </c>
      <c r="B70" s="9" t="s">
        <v>241</v>
      </c>
      <c r="C70" s="9" t="s">
        <v>90</v>
      </c>
      <c r="D70" s="9" t="s">
        <v>91</v>
      </c>
      <c r="E70" s="3" t="s">
        <v>92</v>
      </c>
      <c r="F70" s="3" t="s">
        <v>93</v>
      </c>
      <c r="G70" s="12" t="s">
        <v>26</v>
      </c>
      <c r="H70" s="13" t="s">
        <v>64</v>
      </c>
    </row>
    <row r="71" spans="1:8" ht="43.2" customHeight="1" x14ac:dyDescent="0.3">
      <c r="A71" s="9" t="s">
        <v>258</v>
      </c>
      <c r="B71" s="9" t="s">
        <v>241</v>
      </c>
      <c r="C71" s="9" t="s">
        <v>95</v>
      </c>
      <c r="D71" s="9" t="s">
        <v>96</v>
      </c>
      <c r="E71" s="3" t="s">
        <v>92</v>
      </c>
      <c r="F71" s="3" t="s">
        <v>97</v>
      </c>
      <c r="G71" s="12" t="s">
        <v>26</v>
      </c>
      <c r="H71" s="13" t="s">
        <v>64</v>
      </c>
    </row>
    <row r="72" spans="1:8" ht="28.8" customHeight="1" x14ac:dyDescent="0.3">
      <c r="A72" s="9" t="s">
        <v>259</v>
      </c>
      <c r="B72" s="9" t="s">
        <v>241</v>
      </c>
      <c r="C72" s="9" t="s">
        <v>99</v>
      </c>
      <c r="D72" s="9" t="s">
        <v>100</v>
      </c>
      <c r="E72" s="3" t="s">
        <v>101</v>
      </c>
      <c r="F72" s="3" t="s">
        <v>102</v>
      </c>
      <c r="G72" s="10" t="s">
        <v>14</v>
      </c>
      <c r="H72" s="11" t="s">
        <v>15</v>
      </c>
    </row>
    <row r="73" spans="1:8" ht="28.8" customHeight="1" x14ac:dyDescent="0.3">
      <c r="A73" s="9" t="s">
        <v>260</v>
      </c>
      <c r="B73" s="9" t="s">
        <v>241</v>
      </c>
      <c r="C73" s="9" t="s">
        <v>104</v>
      </c>
      <c r="D73" s="9" t="s">
        <v>105</v>
      </c>
      <c r="E73" s="3" t="s">
        <v>106</v>
      </c>
      <c r="F73" s="3" t="s">
        <v>107</v>
      </c>
      <c r="G73" s="10" t="s">
        <v>14</v>
      </c>
      <c r="H73" s="11" t="s">
        <v>15</v>
      </c>
    </row>
    <row r="74" spans="1:8" ht="28.8" customHeight="1" x14ac:dyDescent="0.3">
      <c r="A74" s="9" t="s">
        <v>261</v>
      </c>
      <c r="B74" s="9" t="s">
        <v>241</v>
      </c>
      <c r="C74" s="9" t="s">
        <v>109</v>
      </c>
      <c r="D74" s="9" t="s">
        <v>110</v>
      </c>
      <c r="E74" s="3" t="s">
        <v>24</v>
      </c>
      <c r="F74" s="3" t="s">
        <v>111</v>
      </c>
      <c r="G74" s="10" t="s">
        <v>14</v>
      </c>
      <c r="H74" s="11" t="s">
        <v>15</v>
      </c>
    </row>
    <row r="75" spans="1:8" ht="43.2" customHeight="1" x14ac:dyDescent="0.3">
      <c r="A75" s="9" t="s">
        <v>262</v>
      </c>
      <c r="B75" s="9" t="s">
        <v>241</v>
      </c>
      <c r="C75" s="9" t="s">
        <v>113</v>
      </c>
      <c r="D75" s="9" t="s">
        <v>114</v>
      </c>
      <c r="E75" s="3" t="s">
        <v>19</v>
      </c>
      <c r="F75" s="3" t="s">
        <v>115</v>
      </c>
      <c r="G75" s="10" t="s">
        <v>14</v>
      </c>
      <c r="H75" s="11" t="s">
        <v>15</v>
      </c>
    </row>
    <row r="76" spans="1:8" ht="57.6" customHeight="1" x14ac:dyDescent="0.3">
      <c r="A76" s="9" t="s">
        <v>263</v>
      </c>
      <c r="B76" s="9" t="s">
        <v>241</v>
      </c>
      <c r="C76" s="9" t="s">
        <v>117</v>
      </c>
      <c r="D76" s="9" t="s">
        <v>118</v>
      </c>
      <c r="E76" s="3" t="s">
        <v>119</v>
      </c>
      <c r="F76" s="3" t="s">
        <v>120</v>
      </c>
      <c r="G76" s="10" t="s">
        <v>14</v>
      </c>
      <c r="H76" s="11" t="s">
        <v>15</v>
      </c>
    </row>
    <row r="77" spans="1:8" ht="28.8" customHeight="1" x14ac:dyDescent="0.3">
      <c r="A77" s="9" t="s">
        <v>264</v>
      </c>
      <c r="B77" s="9" t="s">
        <v>241</v>
      </c>
      <c r="C77" s="9" t="s">
        <v>122</v>
      </c>
      <c r="D77" s="9" t="s">
        <v>123</v>
      </c>
      <c r="E77" s="3" t="s">
        <v>31</v>
      </c>
      <c r="F77" s="3" t="s">
        <v>32</v>
      </c>
      <c r="G77" s="10" t="s">
        <v>14</v>
      </c>
      <c r="H77" s="11" t="s">
        <v>15</v>
      </c>
    </row>
    <row r="78" spans="1:8" ht="28.8" customHeight="1" x14ac:dyDescent="0.3">
      <c r="A78" s="9" t="s">
        <v>265</v>
      </c>
      <c r="B78" s="9" t="s">
        <v>241</v>
      </c>
      <c r="C78" s="9" t="s">
        <v>125</v>
      </c>
      <c r="D78" s="9" t="s">
        <v>126</v>
      </c>
      <c r="E78" s="3" t="s">
        <v>48</v>
      </c>
      <c r="F78" s="3" t="s">
        <v>127</v>
      </c>
      <c r="G78" s="10" t="s">
        <v>14</v>
      </c>
      <c r="H78" s="11" t="s">
        <v>15</v>
      </c>
    </row>
    <row r="79" spans="1:8" ht="43.2" customHeight="1" x14ac:dyDescent="0.3">
      <c r="A79" s="9" t="s">
        <v>266</v>
      </c>
      <c r="B79" s="9" t="s">
        <v>241</v>
      </c>
      <c r="C79" s="9" t="s">
        <v>129</v>
      </c>
      <c r="D79" s="9" t="s">
        <v>130</v>
      </c>
      <c r="E79" s="3" t="s">
        <v>19</v>
      </c>
      <c r="F79" s="3" t="s">
        <v>44</v>
      </c>
      <c r="G79" s="12" t="s">
        <v>26</v>
      </c>
      <c r="H79" s="13" t="s">
        <v>64</v>
      </c>
    </row>
    <row r="80" spans="1:8" ht="28.8" customHeight="1" x14ac:dyDescent="0.3">
      <c r="A80" s="9" t="s">
        <v>267</v>
      </c>
      <c r="B80" s="9" t="s">
        <v>241</v>
      </c>
      <c r="C80" s="9" t="s">
        <v>132</v>
      </c>
      <c r="D80" s="9" t="s">
        <v>133</v>
      </c>
      <c r="E80" s="3" t="s">
        <v>31</v>
      </c>
      <c r="F80" s="3" t="s">
        <v>36</v>
      </c>
      <c r="G80" s="10" t="s">
        <v>14</v>
      </c>
      <c r="H80" s="11" t="s">
        <v>15</v>
      </c>
    </row>
    <row r="81" spans="1:8" ht="43.2" customHeight="1" x14ac:dyDescent="0.3">
      <c r="A81" s="9" t="s">
        <v>268</v>
      </c>
      <c r="B81" s="9" t="s">
        <v>241</v>
      </c>
      <c r="C81" s="9" t="s">
        <v>135</v>
      </c>
      <c r="D81" s="9" t="s">
        <v>136</v>
      </c>
      <c r="E81" s="3" t="s">
        <v>62</v>
      </c>
      <c r="F81" s="3" t="s">
        <v>63</v>
      </c>
      <c r="G81" s="10" t="s">
        <v>14</v>
      </c>
      <c r="H81" s="11" t="s">
        <v>15</v>
      </c>
    </row>
    <row r="82" spans="1:8" ht="43.2" customHeight="1" x14ac:dyDescent="0.3">
      <c r="A82" s="9" t="s">
        <v>269</v>
      </c>
      <c r="B82" s="9" t="s">
        <v>241</v>
      </c>
      <c r="C82" s="9" t="s">
        <v>138</v>
      </c>
      <c r="D82" s="9" t="s">
        <v>139</v>
      </c>
      <c r="E82" s="3" t="s">
        <v>119</v>
      </c>
      <c r="F82" s="3" t="s">
        <v>140</v>
      </c>
      <c r="G82" s="12" t="s">
        <v>26</v>
      </c>
      <c r="H82" s="13" t="s">
        <v>64</v>
      </c>
    </row>
    <row r="83" spans="1:8" ht="57.6" customHeight="1" x14ac:dyDescent="0.3">
      <c r="A83" s="9" t="s">
        <v>270</v>
      </c>
      <c r="B83" s="9" t="s">
        <v>241</v>
      </c>
      <c r="C83" s="9" t="s">
        <v>142</v>
      </c>
      <c r="D83" s="9" t="s">
        <v>143</v>
      </c>
      <c r="E83" s="3" t="s">
        <v>144</v>
      </c>
      <c r="F83" s="3" t="s">
        <v>145</v>
      </c>
      <c r="G83" s="10" t="s">
        <v>14</v>
      </c>
      <c r="H83" s="11" t="s">
        <v>15</v>
      </c>
    </row>
    <row r="84" spans="1:8" ht="28.8" customHeight="1" x14ac:dyDescent="0.3">
      <c r="A84" s="9" t="s">
        <v>271</v>
      </c>
      <c r="B84" s="9" t="s">
        <v>241</v>
      </c>
      <c r="C84" s="9" t="s">
        <v>147</v>
      </c>
      <c r="D84" s="9" t="s">
        <v>148</v>
      </c>
      <c r="E84" s="3" t="s">
        <v>101</v>
      </c>
      <c r="F84" s="3" t="s">
        <v>149</v>
      </c>
      <c r="G84" s="10" t="s">
        <v>14</v>
      </c>
      <c r="H84" s="11" t="s">
        <v>15</v>
      </c>
    </row>
    <row r="85" spans="1:8" ht="28.8" customHeight="1" x14ac:dyDescent="0.3">
      <c r="A85" s="9" t="s">
        <v>272</v>
      </c>
      <c r="B85" s="9" t="s">
        <v>241</v>
      </c>
      <c r="C85" s="9" t="s">
        <v>151</v>
      </c>
      <c r="D85" s="9" t="s">
        <v>152</v>
      </c>
      <c r="E85" s="3" t="s">
        <v>24</v>
      </c>
      <c r="F85" s="3" t="s">
        <v>153</v>
      </c>
      <c r="G85" s="10" t="s">
        <v>14</v>
      </c>
      <c r="H85" s="11" t="s">
        <v>15</v>
      </c>
    </row>
    <row r="86" spans="1:8" ht="57.6" customHeight="1" x14ac:dyDescent="0.3">
      <c r="A86" s="9" t="s">
        <v>273</v>
      </c>
      <c r="B86" s="9" t="s">
        <v>241</v>
      </c>
      <c r="C86" s="9" t="s">
        <v>155</v>
      </c>
      <c r="D86" s="9" t="s">
        <v>156</v>
      </c>
      <c r="E86" s="3" t="s">
        <v>19</v>
      </c>
      <c r="F86" s="3" t="s">
        <v>157</v>
      </c>
      <c r="G86" s="10" t="s">
        <v>14</v>
      </c>
      <c r="H86" s="11" t="s">
        <v>15</v>
      </c>
    </row>
    <row r="87" spans="1:8" ht="43.2" customHeight="1" x14ac:dyDescent="0.3">
      <c r="A87" s="9" t="s">
        <v>274</v>
      </c>
      <c r="B87" s="9" t="s">
        <v>241</v>
      </c>
      <c r="C87" s="9" t="s">
        <v>159</v>
      </c>
      <c r="D87" s="9" t="s">
        <v>160</v>
      </c>
      <c r="E87" s="3" t="s">
        <v>161</v>
      </c>
      <c r="F87" s="3" t="s">
        <v>162</v>
      </c>
      <c r="G87" s="12" t="s">
        <v>26</v>
      </c>
      <c r="H87" s="13" t="s">
        <v>64</v>
      </c>
    </row>
    <row r="88" spans="1:8" ht="43.2" customHeight="1" x14ac:dyDescent="0.3">
      <c r="A88" s="9" t="s">
        <v>275</v>
      </c>
      <c r="B88" s="9" t="s">
        <v>241</v>
      </c>
      <c r="C88" s="9" t="s">
        <v>164</v>
      </c>
      <c r="D88" s="9" t="s">
        <v>165</v>
      </c>
      <c r="E88" s="3" t="s">
        <v>119</v>
      </c>
      <c r="F88" s="3" t="s">
        <v>166</v>
      </c>
      <c r="G88" s="10" t="s">
        <v>14</v>
      </c>
      <c r="H88" s="11" t="s">
        <v>15</v>
      </c>
    </row>
    <row r="89" spans="1:8" ht="43.2" customHeight="1" x14ac:dyDescent="0.3">
      <c r="A89" s="9" t="s">
        <v>276</v>
      </c>
      <c r="B89" s="9" t="s">
        <v>241</v>
      </c>
      <c r="C89" s="9" t="s">
        <v>168</v>
      </c>
      <c r="D89" s="9" t="s">
        <v>169</v>
      </c>
      <c r="E89" s="3" t="s">
        <v>170</v>
      </c>
      <c r="F89" s="3" t="s">
        <v>74</v>
      </c>
      <c r="G89" s="10" t="s">
        <v>14</v>
      </c>
      <c r="H89" s="11" t="s">
        <v>15</v>
      </c>
    </row>
    <row r="90" spans="1:8" ht="28.8" customHeight="1" x14ac:dyDescent="0.3">
      <c r="A90" s="9" t="s">
        <v>277</v>
      </c>
      <c r="B90" s="9" t="s">
        <v>241</v>
      </c>
      <c r="C90" s="9" t="s">
        <v>172</v>
      </c>
      <c r="D90" s="9" t="s">
        <v>173</v>
      </c>
      <c r="E90" s="3" t="s">
        <v>24</v>
      </c>
      <c r="F90" s="3" t="s">
        <v>174</v>
      </c>
      <c r="G90" s="10" t="s">
        <v>14</v>
      </c>
      <c r="H90" s="11" t="s">
        <v>15</v>
      </c>
    </row>
    <row r="91" spans="1:8" ht="43.2" customHeight="1" x14ac:dyDescent="0.3">
      <c r="A91" s="9" t="s">
        <v>278</v>
      </c>
      <c r="B91" s="9" t="s">
        <v>241</v>
      </c>
      <c r="C91" s="9" t="s">
        <v>176</v>
      </c>
      <c r="D91" s="9" t="s">
        <v>177</v>
      </c>
      <c r="E91" s="3" t="s">
        <v>19</v>
      </c>
      <c r="F91" s="3" t="s">
        <v>178</v>
      </c>
      <c r="G91" s="10" t="s">
        <v>14</v>
      </c>
      <c r="H91" s="11" t="s">
        <v>15</v>
      </c>
    </row>
    <row r="92" spans="1:8" ht="43.2" customHeight="1" x14ac:dyDescent="0.3">
      <c r="A92" s="9" t="s">
        <v>279</v>
      </c>
      <c r="B92" s="9" t="s">
        <v>241</v>
      </c>
      <c r="C92" s="9" t="s">
        <v>180</v>
      </c>
      <c r="D92" s="9" t="s">
        <v>181</v>
      </c>
      <c r="E92" s="3" t="s">
        <v>19</v>
      </c>
      <c r="F92" s="3" t="s">
        <v>182</v>
      </c>
      <c r="G92" s="10" t="s">
        <v>14</v>
      </c>
      <c r="H92" s="11" t="s">
        <v>15</v>
      </c>
    </row>
    <row r="93" spans="1:8" ht="28.8" customHeight="1" x14ac:dyDescent="0.3">
      <c r="A93" s="9" t="s">
        <v>280</v>
      </c>
      <c r="B93" s="9" t="s">
        <v>241</v>
      </c>
      <c r="C93" s="9" t="s">
        <v>184</v>
      </c>
      <c r="D93" s="9" t="s">
        <v>185</v>
      </c>
      <c r="E93" s="3" t="s">
        <v>101</v>
      </c>
      <c r="F93" s="3" t="s">
        <v>186</v>
      </c>
      <c r="G93" s="10" t="s">
        <v>14</v>
      </c>
      <c r="H93" s="11" t="s">
        <v>15</v>
      </c>
    </row>
    <row r="94" spans="1:8" ht="43.2" customHeight="1" x14ac:dyDescent="0.3">
      <c r="A94" s="9" t="s">
        <v>281</v>
      </c>
      <c r="B94" s="9" t="s">
        <v>241</v>
      </c>
      <c r="C94" s="9" t="s">
        <v>188</v>
      </c>
      <c r="D94" s="9" t="s">
        <v>189</v>
      </c>
      <c r="E94" s="3" t="s">
        <v>190</v>
      </c>
      <c r="F94" s="3" t="s">
        <v>191</v>
      </c>
      <c r="G94" s="10" t="s">
        <v>14</v>
      </c>
      <c r="H94" s="11" t="s">
        <v>15</v>
      </c>
    </row>
    <row r="95" spans="1:8" ht="43.2" customHeight="1" x14ac:dyDescent="0.3">
      <c r="A95" s="9" t="s">
        <v>282</v>
      </c>
      <c r="B95" s="9" t="s">
        <v>241</v>
      </c>
      <c r="C95" s="9" t="s">
        <v>193</v>
      </c>
      <c r="D95" s="9" t="s">
        <v>194</v>
      </c>
      <c r="E95" s="3" t="s">
        <v>195</v>
      </c>
      <c r="F95" s="3" t="s">
        <v>196</v>
      </c>
      <c r="G95" s="10" t="s">
        <v>14</v>
      </c>
      <c r="H95" s="11" t="s">
        <v>15</v>
      </c>
    </row>
    <row r="96" spans="1:8" ht="43.2" customHeight="1" x14ac:dyDescent="0.3">
      <c r="A96" s="9" t="s">
        <v>283</v>
      </c>
      <c r="B96" s="9" t="s">
        <v>241</v>
      </c>
      <c r="C96" s="9" t="s">
        <v>198</v>
      </c>
      <c r="D96" s="9" t="s">
        <v>199</v>
      </c>
      <c r="E96" s="3" t="s">
        <v>200</v>
      </c>
      <c r="F96" s="3" t="s">
        <v>201</v>
      </c>
      <c r="G96" s="10" t="s">
        <v>14</v>
      </c>
      <c r="H96" s="11" t="s">
        <v>15</v>
      </c>
    </row>
    <row r="97" spans="1:8" ht="43.2" customHeight="1" x14ac:dyDescent="0.3">
      <c r="A97" s="9" t="s">
        <v>284</v>
      </c>
      <c r="B97" s="9" t="s">
        <v>241</v>
      </c>
      <c r="C97" s="9" t="s">
        <v>203</v>
      </c>
      <c r="D97" s="9" t="s">
        <v>204</v>
      </c>
      <c r="E97" s="3" t="s">
        <v>205</v>
      </c>
      <c r="F97" s="3" t="s">
        <v>206</v>
      </c>
      <c r="G97" s="10" t="s">
        <v>14</v>
      </c>
      <c r="H97" s="11" t="s">
        <v>15</v>
      </c>
    </row>
    <row r="98" spans="1:8" ht="43.2" customHeight="1" x14ac:dyDescent="0.3">
      <c r="A98" s="9" t="s">
        <v>285</v>
      </c>
      <c r="B98" s="9" t="s">
        <v>241</v>
      </c>
      <c r="C98" s="9" t="s">
        <v>208</v>
      </c>
      <c r="D98" s="9" t="s">
        <v>209</v>
      </c>
      <c r="E98" s="3" t="s">
        <v>210</v>
      </c>
      <c r="F98" s="3" t="s">
        <v>211</v>
      </c>
      <c r="G98" s="10" t="s">
        <v>14</v>
      </c>
      <c r="H98" s="11" t="s">
        <v>15</v>
      </c>
    </row>
    <row r="99" spans="1:8" ht="28.8" customHeight="1" x14ac:dyDescent="0.3">
      <c r="A99" s="9" t="s">
        <v>286</v>
      </c>
      <c r="B99" s="9" t="s">
        <v>241</v>
      </c>
      <c r="C99" s="9" t="s">
        <v>213</v>
      </c>
      <c r="D99" s="9" t="s">
        <v>214</v>
      </c>
      <c r="E99" s="3" t="s">
        <v>53</v>
      </c>
      <c r="F99" s="3" t="s">
        <v>215</v>
      </c>
      <c r="G99" s="10" t="s">
        <v>14</v>
      </c>
      <c r="H99" s="11" t="s">
        <v>15</v>
      </c>
    </row>
    <row r="100" spans="1:8" ht="28.8" customHeight="1" x14ac:dyDescent="0.3">
      <c r="A100" s="9" t="s">
        <v>287</v>
      </c>
      <c r="B100" s="9" t="s">
        <v>241</v>
      </c>
      <c r="C100" s="9" t="s">
        <v>217</v>
      </c>
      <c r="D100" s="9" t="s">
        <v>218</v>
      </c>
      <c r="E100" s="3" t="s">
        <v>53</v>
      </c>
      <c r="F100" s="3" t="s">
        <v>219</v>
      </c>
      <c r="G100" s="10" t="s">
        <v>14</v>
      </c>
      <c r="H100" s="11" t="s">
        <v>15</v>
      </c>
    </row>
    <row r="101" spans="1:8" ht="28.8" customHeight="1" x14ac:dyDescent="0.3">
      <c r="A101" s="9" t="s">
        <v>288</v>
      </c>
      <c r="B101" s="9" t="s">
        <v>241</v>
      </c>
      <c r="C101" s="9" t="s">
        <v>221</v>
      </c>
      <c r="D101" s="9" t="s">
        <v>222</v>
      </c>
      <c r="E101" s="3" t="s">
        <v>119</v>
      </c>
      <c r="F101" s="3" t="s">
        <v>223</v>
      </c>
      <c r="G101" s="10" t="s">
        <v>14</v>
      </c>
      <c r="H101" s="11" t="s">
        <v>15</v>
      </c>
    </row>
    <row r="102" spans="1:8" ht="43.2" customHeight="1" x14ac:dyDescent="0.3">
      <c r="A102" s="9" t="s">
        <v>289</v>
      </c>
      <c r="B102" s="9" t="s">
        <v>241</v>
      </c>
      <c r="C102" s="9" t="s">
        <v>225</v>
      </c>
      <c r="D102" s="9" t="s">
        <v>226</v>
      </c>
      <c r="E102" s="3" t="s">
        <v>68</v>
      </c>
      <c r="F102" s="3" t="s">
        <v>227</v>
      </c>
      <c r="G102" s="12" t="s">
        <v>26</v>
      </c>
      <c r="H102" s="13" t="s">
        <v>64</v>
      </c>
    </row>
    <row r="103" spans="1:8" ht="28.8" customHeight="1" x14ac:dyDescent="0.3">
      <c r="A103" s="9" t="s">
        <v>290</v>
      </c>
      <c r="B103" s="9" t="s">
        <v>241</v>
      </c>
      <c r="C103" s="9" t="s">
        <v>229</v>
      </c>
      <c r="D103" s="9" t="s">
        <v>230</v>
      </c>
      <c r="E103" s="3" t="s">
        <v>53</v>
      </c>
      <c r="F103" s="3" t="s">
        <v>231</v>
      </c>
      <c r="G103" s="10" t="s">
        <v>14</v>
      </c>
      <c r="H103" s="11" t="s">
        <v>15</v>
      </c>
    </row>
    <row r="104" spans="1:8" ht="43.2" customHeight="1" x14ac:dyDescent="0.3">
      <c r="A104" s="9" t="s">
        <v>291</v>
      </c>
      <c r="B104" s="9" t="s">
        <v>241</v>
      </c>
      <c r="C104" s="9" t="s">
        <v>233</v>
      </c>
      <c r="D104" s="9" t="s">
        <v>234</v>
      </c>
      <c r="E104" s="3" t="s">
        <v>200</v>
      </c>
      <c r="F104" s="3" t="s">
        <v>235</v>
      </c>
      <c r="G104" s="10" t="s">
        <v>14</v>
      </c>
      <c r="H104" s="11" t="s">
        <v>15</v>
      </c>
    </row>
    <row r="105" spans="1:8" ht="43.2" customHeight="1" x14ac:dyDescent="0.3">
      <c r="A105" s="9" t="s">
        <v>292</v>
      </c>
      <c r="B105" s="9" t="s">
        <v>241</v>
      </c>
      <c r="C105" s="9" t="s">
        <v>237</v>
      </c>
      <c r="D105" s="9" t="s">
        <v>238</v>
      </c>
      <c r="E105" s="3" t="s">
        <v>19</v>
      </c>
      <c r="F105" s="3" t="s">
        <v>239</v>
      </c>
      <c r="G105" s="10" t="s">
        <v>14</v>
      </c>
      <c r="H105" s="11" t="s">
        <v>15</v>
      </c>
    </row>
  </sheetData>
  <autoFilter ref="A1:H10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5"/>
  <sheetViews>
    <sheetView topLeftCell="H1" workbookViewId="0">
      <pane ySplit="1" topLeftCell="A2" activePane="bottomLeft" state="frozen"/>
      <selection pane="bottomLeft" activeCell="N8" sqref="N8"/>
    </sheetView>
  </sheetViews>
  <sheetFormatPr defaultRowHeight="14.4" x14ac:dyDescent="0.3"/>
  <cols>
    <col min="1" max="2" width="11.6640625" style="8" bestFit="1" customWidth="1"/>
    <col min="3" max="3" width="16.109375" style="8" bestFit="1" customWidth="1"/>
    <col min="4" max="4" width="30.88671875" style="8" bestFit="1" customWidth="1"/>
    <col min="5" max="5" width="11.44140625" style="8" bestFit="1" customWidth="1"/>
    <col min="6" max="6" width="37.33203125" style="8" bestFit="1" customWidth="1"/>
    <col min="7" max="7" width="21.21875" style="8" bestFit="1" customWidth="1"/>
    <col min="8" max="8" width="18.77734375" style="8" bestFit="1" customWidth="1"/>
    <col min="9" max="9" width="49.5546875" style="8" bestFit="1" customWidth="1"/>
    <col min="10" max="10" width="13.44140625" style="8" bestFit="1" customWidth="1"/>
    <col min="11" max="11" width="13" style="8" bestFit="1" customWidth="1"/>
    <col min="12" max="12" width="13.44140625" style="8" bestFit="1" customWidth="1"/>
    <col min="13" max="13" width="19.33203125" style="8" bestFit="1" customWidth="1"/>
    <col min="14" max="14" width="30.5546875" style="8" bestFit="1" customWidth="1"/>
    <col min="15" max="15" width="26.44140625" style="8" bestFit="1" customWidth="1"/>
    <col min="16" max="16" width="14.77734375" style="8" bestFit="1" customWidth="1"/>
    <col min="17" max="17" width="45.5546875" style="8" bestFit="1" customWidth="1"/>
    <col min="18" max="18" width="17.6640625" style="8" bestFit="1" customWidth="1"/>
    <col min="19" max="19" width="17" style="8" bestFit="1" customWidth="1"/>
    <col min="20" max="20" width="15.109375" style="8" bestFit="1" customWidth="1"/>
    <col min="21" max="21" width="27.88671875" style="8" customWidth="1"/>
    <col min="22" max="22" width="11.33203125" style="8" bestFit="1" customWidth="1"/>
    <col min="23" max="23" width="9.88671875" style="8" bestFit="1" customWidth="1"/>
    <col min="24" max="16384" width="8.88671875" style="8"/>
  </cols>
  <sheetData>
    <row r="1" spans="1:23" s="23" customFormat="1" x14ac:dyDescent="0.3">
      <c r="A1" s="21" t="s">
        <v>0</v>
      </c>
      <c r="B1" s="21" t="s">
        <v>1</v>
      </c>
      <c r="C1" s="21" t="s">
        <v>293</v>
      </c>
      <c r="D1" s="21" t="s">
        <v>294</v>
      </c>
      <c r="E1" s="21" t="s">
        <v>2</v>
      </c>
      <c r="F1" s="21" t="s">
        <v>3</v>
      </c>
      <c r="G1" s="21" t="s">
        <v>295</v>
      </c>
      <c r="H1" s="21" t="s">
        <v>296</v>
      </c>
      <c r="I1" s="21" t="s">
        <v>297</v>
      </c>
      <c r="J1" s="21" t="s">
        <v>298</v>
      </c>
      <c r="K1" s="21" t="s">
        <v>299</v>
      </c>
      <c r="L1" s="21" t="s">
        <v>300</v>
      </c>
      <c r="M1" s="21" t="s">
        <v>301</v>
      </c>
      <c r="N1" s="21" t="s">
        <v>302</v>
      </c>
      <c r="O1" s="21" t="s">
        <v>303</v>
      </c>
      <c r="P1" s="21" t="s">
        <v>304</v>
      </c>
      <c r="Q1" s="21" t="s">
        <v>305</v>
      </c>
      <c r="R1" s="21" t="s">
        <v>6</v>
      </c>
      <c r="S1" s="22" t="s">
        <v>7</v>
      </c>
      <c r="T1" s="22" t="s">
        <v>306</v>
      </c>
      <c r="U1" s="21" t="s">
        <v>307</v>
      </c>
      <c r="V1" s="21" t="s">
        <v>308</v>
      </c>
      <c r="W1" s="21" t="s">
        <v>309</v>
      </c>
    </row>
    <row r="2" spans="1:23" ht="28.8" customHeight="1" x14ac:dyDescent="0.3">
      <c r="A2" s="9" t="s">
        <v>8</v>
      </c>
      <c r="B2" s="9" t="s">
        <v>9</v>
      </c>
      <c r="C2" s="9" t="s">
        <v>310</v>
      </c>
      <c r="D2" s="9" t="s">
        <v>311</v>
      </c>
      <c r="E2" s="9" t="s">
        <v>10</v>
      </c>
      <c r="F2" s="9" t="s">
        <v>11</v>
      </c>
      <c r="G2" s="9" t="s">
        <v>14</v>
      </c>
      <c r="H2" s="9" t="s">
        <v>15</v>
      </c>
      <c r="I2" s="9"/>
      <c r="J2" s="9" t="s">
        <v>312</v>
      </c>
      <c r="K2" s="9" t="s">
        <v>312</v>
      </c>
      <c r="L2" s="9" t="s">
        <v>312</v>
      </c>
      <c r="M2" s="9" t="s">
        <v>312</v>
      </c>
      <c r="N2" s="9"/>
      <c r="O2" s="9"/>
      <c r="P2" s="9" t="s">
        <v>313</v>
      </c>
      <c r="Q2" s="9" t="s">
        <v>456</v>
      </c>
      <c r="R2" s="17" t="str">
        <f>IFERROR(INDEX('Ground Truth'!$G$2:$G$105,MATCH(A2,'Ground Truth'!$A$2:$A$105,0)),"")</f>
        <v>YES</v>
      </c>
      <c r="S2" s="17" t="str">
        <f>IFERROR(INDEX('Ground Truth'!$H$2:$H$105,MATCH(A2,'Ground Truth'!$A$2:$A$105,0)),"")</f>
        <v>executable</v>
      </c>
      <c r="T2" s="17">
        <f t="shared" ref="T2:T33" si="0">IF(S2="","",--(S2=H2))</f>
        <v>1</v>
      </c>
      <c r="U2" s="9" t="str">
        <f t="shared" ref="U2:U33" si="1">IF(R2="","","Compared with user-reviewed Ground Truth")</f>
        <v>Compared with user-reviewed Ground Truth</v>
      </c>
      <c r="V2" s="17">
        <f t="shared" ref="V2:V33" si="2">IF(R2="","",--(R2=G2))</f>
        <v>1</v>
      </c>
      <c r="W2" s="17" t="str">
        <f t="shared" ref="W2:W33" si="3">IF(R2="","",IF(AND(R2="YES",G2="YES"),"TP",IF(AND(R2="NO",G2="NO"),"TN",IF(AND(R2="NO",G2="YES"),"FP",IF(AND(R2="YES",G2="NO"),"FN","CHECK")))))</f>
        <v>TP</v>
      </c>
    </row>
    <row r="3" spans="1:23" ht="28.8" customHeight="1" x14ac:dyDescent="0.3">
      <c r="A3" s="9" t="s">
        <v>16</v>
      </c>
      <c r="B3" s="9" t="s">
        <v>9</v>
      </c>
      <c r="C3" s="9" t="s">
        <v>310</v>
      </c>
      <c r="D3" s="9" t="s">
        <v>311</v>
      </c>
      <c r="E3" s="9" t="s">
        <v>17</v>
      </c>
      <c r="F3" s="9" t="s">
        <v>18</v>
      </c>
      <c r="G3" s="9" t="s">
        <v>14</v>
      </c>
      <c r="H3" s="9" t="s">
        <v>15</v>
      </c>
      <c r="I3" s="9"/>
      <c r="J3" s="9" t="s">
        <v>312</v>
      </c>
      <c r="K3" s="9" t="s">
        <v>312</v>
      </c>
      <c r="L3" s="9" t="s">
        <v>312</v>
      </c>
      <c r="M3" s="9" t="s">
        <v>312</v>
      </c>
      <c r="N3" s="9"/>
      <c r="O3" s="9"/>
      <c r="P3" s="9" t="s">
        <v>313</v>
      </c>
      <c r="Q3" s="9" t="s">
        <v>456</v>
      </c>
      <c r="R3" s="17" t="str">
        <f>IFERROR(INDEX('Ground Truth'!$G$2:$G$105,MATCH(A3,'Ground Truth'!$A$2:$A$105,0)),"")</f>
        <v>YES</v>
      </c>
      <c r="S3" s="17" t="str">
        <f>IFERROR(INDEX('Ground Truth'!$H$2:$H$105,MATCH(A3,'Ground Truth'!$A$2:$A$105,0)),"")</f>
        <v>executable</v>
      </c>
      <c r="T3" s="17">
        <f t="shared" si="0"/>
        <v>1</v>
      </c>
      <c r="U3" s="9" t="str">
        <f t="shared" si="1"/>
        <v>Compared with user-reviewed Ground Truth</v>
      </c>
      <c r="V3" s="17">
        <f t="shared" si="2"/>
        <v>1</v>
      </c>
      <c r="W3" s="17" t="str">
        <f t="shared" si="3"/>
        <v>TP</v>
      </c>
    </row>
    <row r="4" spans="1:23" ht="28.8" customHeight="1" x14ac:dyDescent="0.3">
      <c r="A4" s="9" t="s">
        <v>21</v>
      </c>
      <c r="B4" s="9" t="s">
        <v>9</v>
      </c>
      <c r="C4" s="9" t="s">
        <v>310</v>
      </c>
      <c r="D4" s="9" t="s">
        <v>311</v>
      </c>
      <c r="E4" s="9" t="s">
        <v>22</v>
      </c>
      <c r="F4" s="9" t="s">
        <v>23</v>
      </c>
      <c r="G4" s="9" t="s">
        <v>26</v>
      </c>
      <c r="H4" s="9" t="s">
        <v>27</v>
      </c>
      <c r="I4" s="9" t="s">
        <v>314</v>
      </c>
      <c r="J4" s="9" t="s">
        <v>312</v>
      </c>
      <c r="K4" s="9" t="s">
        <v>315</v>
      </c>
      <c r="L4" s="9" t="s">
        <v>312</v>
      </c>
      <c r="M4" s="9" t="s">
        <v>315</v>
      </c>
      <c r="N4" s="9" t="s">
        <v>316</v>
      </c>
      <c r="O4" s="9"/>
      <c r="P4" s="9" t="s">
        <v>317</v>
      </c>
      <c r="Q4" s="9" t="s">
        <v>318</v>
      </c>
      <c r="R4" s="17" t="str">
        <f>IFERROR(INDEX('Ground Truth'!$G$2:$G$105,MATCH(A4,'Ground Truth'!$A$2:$A$105,0)),"")</f>
        <v>NO</v>
      </c>
      <c r="S4" s="17" t="str">
        <f>IFERROR(INDEX('Ground Truth'!$H$2:$H$105,MATCH(A4,'Ground Truth'!$A$2:$A$105,0)),"")</f>
        <v>insufficient_data</v>
      </c>
      <c r="T4" s="17">
        <f t="shared" si="0"/>
        <v>1</v>
      </c>
      <c r="U4" s="9" t="str">
        <f t="shared" si="1"/>
        <v>Compared with user-reviewed Ground Truth</v>
      </c>
      <c r="V4" s="17">
        <f t="shared" si="2"/>
        <v>1</v>
      </c>
      <c r="W4" s="17" t="str">
        <f t="shared" si="3"/>
        <v>TN</v>
      </c>
    </row>
    <row r="5" spans="1:23" ht="28.8" customHeight="1" x14ac:dyDescent="0.3">
      <c r="A5" s="9" t="s">
        <v>28</v>
      </c>
      <c r="B5" s="9" t="s">
        <v>9</v>
      </c>
      <c r="C5" s="9" t="s">
        <v>310</v>
      </c>
      <c r="D5" s="9" t="s">
        <v>311</v>
      </c>
      <c r="E5" s="9" t="s">
        <v>29</v>
      </c>
      <c r="F5" s="9" t="s">
        <v>30</v>
      </c>
      <c r="G5" s="9" t="s">
        <v>14</v>
      </c>
      <c r="H5" s="9" t="s">
        <v>15</v>
      </c>
      <c r="I5" s="9"/>
      <c r="J5" s="9" t="s">
        <v>312</v>
      </c>
      <c r="K5" s="9" t="s">
        <v>312</v>
      </c>
      <c r="L5" s="9" t="s">
        <v>312</v>
      </c>
      <c r="M5" s="9" t="s">
        <v>312</v>
      </c>
      <c r="N5" s="9"/>
      <c r="O5" s="9"/>
      <c r="P5" s="9" t="s">
        <v>313</v>
      </c>
      <c r="Q5" s="9" t="s">
        <v>456</v>
      </c>
      <c r="R5" s="17" t="str">
        <f>IFERROR(INDEX('Ground Truth'!$G$2:$G$105,MATCH(A5,'Ground Truth'!$A$2:$A$105,0)),"")</f>
        <v>YES</v>
      </c>
      <c r="S5" s="17" t="str">
        <f>IFERROR(INDEX('Ground Truth'!$H$2:$H$105,MATCH(A5,'Ground Truth'!$A$2:$A$105,0)),"")</f>
        <v>executable</v>
      </c>
      <c r="T5" s="17">
        <f t="shared" si="0"/>
        <v>1</v>
      </c>
      <c r="U5" s="9" t="str">
        <f t="shared" si="1"/>
        <v>Compared with user-reviewed Ground Truth</v>
      </c>
      <c r="V5" s="17">
        <f t="shared" si="2"/>
        <v>1</v>
      </c>
      <c r="W5" s="17" t="str">
        <f t="shared" si="3"/>
        <v>TP</v>
      </c>
    </row>
    <row r="6" spans="1:23" ht="28.8" customHeight="1" x14ac:dyDescent="0.3">
      <c r="A6" s="9" t="s">
        <v>33</v>
      </c>
      <c r="B6" s="9" t="s">
        <v>9</v>
      </c>
      <c r="C6" s="9" t="s">
        <v>310</v>
      </c>
      <c r="D6" s="9" t="s">
        <v>311</v>
      </c>
      <c r="E6" s="9" t="s">
        <v>34</v>
      </c>
      <c r="F6" s="9" t="s">
        <v>35</v>
      </c>
      <c r="G6" s="9" t="s">
        <v>14</v>
      </c>
      <c r="H6" s="9" t="s">
        <v>15</v>
      </c>
      <c r="I6" s="9"/>
      <c r="J6" s="9" t="s">
        <v>312</v>
      </c>
      <c r="K6" s="9" t="s">
        <v>312</v>
      </c>
      <c r="L6" s="9" t="s">
        <v>312</v>
      </c>
      <c r="M6" s="9" t="s">
        <v>312</v>
      </c>
      <c r="N6" s="9"/>
      <c r="O6" s="9"/>
      <c r="P6" s="9" t="s">
        <v>313</v>
      </c>
      <c r="Q6" s="9" t="s">
        <v>456</v>
      </c>
      <c r="R6" s="17" t="str">
        <f>IFERROR(INDEX('Ground Truth'!$G$2:$G$105,MATCH(A6,'Ground Truth'!$A$2:$A$105,0)),"")</f>
        <v>YES</v>
      </c>
      <c r="S6" s="17" t="str">
        <f>IFERROR(INDEX('Ground Truth'!$H$2:$H$105,MATCH(A6,'Ground Truth'!$A$2:$A$105,0)),"")</f>
        <v>executable</v>
      </c>
      <c r="T6" s="17">
        <f t="shared" si="0"/>
        <v>1</v>
      </c>
      <c r="U6" s="9" t="str">
        <f t="shared" si="1"/>
        <v>Compared with user-reviewed Ground Truth</v>
      </c>
      <c r="V6" s="17">
        <f t="shared" si="2"/>
        <v>1</v>
      </c>
      <c r="W6" s="17" t="str">
        <f t="shared" si="3"/>
        <v>TP</v>
      </c>
    </row>
    <row r="7" spans="1:23" ht="28.8" customHeight="1" x14ac:dyDescent="0.3">
      <c r="A7" s="9" t="s">
        <v>37</v>
      </c>
      <c r="B7" s="9" t="s">
        <v>9</v>
      </c>
      <c r="C7" s="9" t="s">
        <v>310</v>
      </c>
      <c r="D7" s="9" t="s">
        <v>311</v>
      </c>
      <c r="E7" s="9" t="s">
        <v>38</v>
      </c>
      <c r="F7" s="9" t="s">
        <v>39</v>
      </c>
      <c r="G7" s="9" t="s">
        <v>14</v>
      </c>
      <c r="H7" s="9" t="s">
        <v>15</v>
      </c>
      <c r="I7" s="9"/>
      <c r="J7" s="9" t="s">
        <v>312</v>
      </c>
      <c r="K7" s="9" t="s">
        <v>312</v>
      </c>
      <c r="L7" s="9" t="s">
        <v>312</v>
      </c>
      <c r="M7" s="9" t="s">
        <v>312</v>
      </c>
      <c r="N7" s="9"/>
      <c r="O7" s="9"/>
      <c r="P7" s="9" t="s">
        <v>313</v>
      </c>
      <c r="Q7" s="9" t="s">
        <v>456</v>
      </c>
      <c r="R7" s="17" t="str">
        <f>IFERROR(INDEX('Ground Truth'!$G$2:$G$105,MATCH(A7,'Ground Truth'!$A$2:$A$105,0)),"")</f>
        <v>YES</v>
      </c>
      <c r="S7" s="17" t="str">
        <f>IFERROR(INDEX('Ground Truth'!$H$2:$H$105,MATCH(A7,'Ground Truth'!$A$2:$A$105,0)),"")</f>
        <v>executable</v>
      </c>
      <c r="T7" s="17">
        <f t="shared" si="0"/>
        <v>1</v>
      </c>
      <c r="U7" s="9" t="str">
        <f t="shared" si="1"/>
        <v>Compared with user-reviewed Ground Truth</v>
      </c>
      <c r="V7" s="17">
        <f t="shared" si="2"/>
        <v>1</v>
      </c>
      <c r="W7" s="17" t="str">
        <f t="shared" si="3"/>
        <v>TP</v>
      </c>
    </row>
    <row r="8" spans="1:23" ht="28.8" customHeight="1" x14ac:dyDescent="0.3">
      <c r="A8" s="9" t="s">
        <v>41</v>
      </c>
      <c r="B8" s="9" t="s">
        <v>9</v>
      </c>
      <c r="C8" s="9" t="s">
        <v>310</v>
      </c>
      <c r="D8" s="9" t="s">
        <v>311</v>
      </c>
      <c r="E8" s="9" t="s">
        <v>42</v>
      </c>
      <c r="F8" s="9" t="s">
        <v>43</v>
      </c>
      <c r="G8" s="9" t="s">
        <v>14</v>
      </c>
      <c r="H8" s="9" t="s">
        <v>15</v>
      </c>
      <c r="I8" s="9"/>
      <c r="J8" s="9" t="s">
        <v>312</v>
      </c>
      <c r="K8" s="9" t="s">
        <v>312</v>
      </c>
      <c r="L8" s="9" t="s">
        <v>312</v>
      </c>
      <c r="M8" s="9" t="s">
        <v>312</v>
      </c>
      <c r="N8" s="9"/>
      <c r="O8" s="9"/>
      <c r="P8" s="9" t="s">
        <v>313</v>
      </c>
      <c r="Q8" s="9" t="s">
        <v>456</v>
      </c>
      <c r="R8" s="17" t="str">
        <f>IFERROR(INDEX('Ground Truth'!$G$2:$G$105,MATCH(A8,'Ground Truth'!$A$2:$A$105,0)),"")</f>
        <v>YES</v>
      </c>
      <c r="S8" s="17" t="str">
        <f>IFERROR(INDEX('Ground Truth'!$H$2:$H$105,MATCH(A8,'Ground Truth'!$A$2:$A$105,0)),"")</f>
        <v>executable</v>
      </c>
      <c r="T8" s="17">
        <f t="shared" si="0"/>
        <v>1</v>
      </c>
      <c r="U8" s="9" t="str">
        <f t="shared" si="1"/>
        <v>Compared with user-reviewed Ground Truth</v>
      </c>
      <c r="V8" s="17">
        <f t="shared" si="2"/>
        <v>1</v>
      </c>
      <c r="W8" s="17" t="str">
        <f t="shared" si="3"/>
        <v>TP</v>
      </c>
    </row>
    <row r="9" spans="1:23" ht="28.8" customHeight="1" x14ac:dyDescent="0.3">
      <c r="A9" s="9" t="s">
        <v>45</v>
      </c>
      <c r="B9" s="9" t="s">
        <v>9</v>
      </c>
      <c r="C9" s="9" t="s">
        <v>310</v>
      </c>
      <c r="D9" s="9" t="s">
        <v>311</v>
      </c>
      <c r="E9" s="9" t="s">
        <v>46</v>
      </c>
      <c r="F9" s="9" t="s">
        <v>47</v>
      </c>
      <c r="G9" s="9" t="s">
        <v>26</v>
      </c>
      <c r="H9" s="9" t="s">
        <v>27</v>
      </c>
      <c r="I9" s="9" t="s">
        <v>314</v>
      </c>
      <c r="J9" s="9" t="s">
        <v>312</v>
      </c>
      <c r="K9" s="9" t="s">
        <v>315</v>
      </c>
      <c r="L9" s="9" t="s">
        <v>312</v>
      </c>
      <c r="M9" s="9" t="s">
        <v>315</v>
      </c>
      <c r="N9" s="9" t="s">
        <v>319</v>
      </c>
      <c r="O9" s="9"/>
      <c r="P9" s="9" t="s">
        <v>317</v>
      </c>
      <c r="Q9" s="9" t="s">
        <v>318</v>
      </c>
      <c r="R9" s="17" t="str">
        <f>IFERROR(INDEX('Ground Truth'!$G$2:$G$105,MATCH(A9,'Ground Truth'!$A$2:$A$105,0)),"")</f>
        <v>NO</v>
      </c>
      <c r="S9" s="17" t="str">
        <f>IFERROR(INDEX('Ground Truth'!$H$2:$H$105,MATCH(A9,'Ground Truth'!$A$2:$A$105,0)),"")</f>
        <v>insufficient_data</v>
      </c>
      <c r="T9" s="17">
        <f t="shared" si="0"/>
        <v>1</v>
      </c>
      <c r="U9" s="9" t="str">
        <f t="shared" si="1"/>
        <v>Compared with user-reviewed Ground Truth</v>
      </c>
      <c r="V9" s="17">
        <f t="shared" si="2"/>
        <v>1</v>
      </c>
      <c r="W9" s="17" t="str">
        <f t="shared" si="3"/>
        <v>TN</v>
      </c>
    </row>
    <row r="10" spans="1:23" ht="28.8" customHeight="1" x14ac:dyDescent="0.3">
      <c r="A10" s="9" t="s">
        <v>50</v>
      </c>
      <c r="B10" s="9" t="s">
        <v>9</v>
      </c>
      <c r="C10" s="9" t="s">
        <v>310</v>
      </c>
      <c r="D10" s="9" t="s">
        <v>311</v>
      </c>
      <c r="E10" s="9" t="s">
        <v>51</v>
      </c>
      <c r="F10" s="9" t="s">
        <v>52</v>
      </c>
      <c r="G10" s="9" t="s">
        <v>26</v>
      </c>
      <c r="H10" s="9" t="s">
        <v>27</v>
      </c>
      <c r="I10" s="9" t="s">
        <v>320</v>
      </c>
      <c r="J10" s="9" t="s">
        <v>312</v>
      </c>
      <c r="K10" s="9" t="s">
        <v>315</v>
      </c>
      <c r="L10" s="9" t="s">
        <v>312</v>
      </c>
      <c r="M10" s="9" t="s">
        <v>315</v>
      </c>
      <c r="N10" s="9" t="s">
        <v>319</v>
      </c>
      <c r="O10" s="9"/>
      <c r="P10" s="9" t="s">
        <v>317</v>
      </c>
      <c r="Q10" s="9" t="s">
        <v>318</v>
      </c>
      <c r="R10" s="17" t="str">
        <f>IFERROR(INDEX('Ground Truth'!$G$2:$G$105,MATCH(A10,'Ground Truth'!$A$2:$A$105,0)),"")</f>
        <v>NO</v>
      </c>
      <c r="S10" s="17" t="str">
        <f>IFERROR(INDEX('Ground Truth'!$H$2:$H$105,MATCH(A10,'Ground Truth'!$A$2:$A$105,0)),"")</f>
        <v>insufficient_data</v>
      </c>
      <c r="T10" s="17">
        <f t="shared" si="0"/>
        <v>1</v>
      </c>
      <c r="U10" s="9" t="str">
        <f t="shared" si="1"/>
        <v>Compared with user-reviewed Ground Truth</v>
      </c>
      <c r="V10" s="17">
        <f t="shared" si="2"/>
        <v>1</v>
      </c>
      <c r="W10" s="17" t="str">
        <f t="shared" si="3"/>
        <v>TN</v>
      </c>
    </row>
    <row r="11" spans="1:23" ht="28.8" customHeight="1" x14ac:dyDescent="0.3">
      <c r="A11" s="9" t="s">
        <v>55</v>
      </c>
      <c r="B11" s="9" t="s">
        <v>9</v>
      </c>
      <c r="C11" s="9" t="s">
        <v>310</v>
      </c>
      <c r="D11" s="9" t="s">
        <v>311</v>
      </c>
      <c r="E11" s="9" t="s">
        <v>56</v>
      </c>
      <c r="F11" s="9" t="s">
        <v>57</v>
      </c>
      <c r="G11" s="9" t="s">
        <v>14</v>
      </c>
      <c r="H11" s="9" t="s">
        <v>15</v>
      </c>
      <c r="I11" s="9"/>
      <c r="J11" s="9" t="s">
        <v>312</v>
      </c>
      <c r="K11" s="9" t="s">
        <v>312</v>
      </c>
      <c r="L11" s="9" t="s">
        <v>312</v>
      </c>
      <c r="M11" s="9" t="s">
        <v>312</v>
      </c>
      <c r="N11" s="9"/>
      <c r="O11" s="9"/>
      <c r="P11" s="9" t="s">
        <v>313</v>
      </c>
      <c r="Q11" s="9" t="s">
        <v>456</v>
      </c>
      <c r="R11" s="17" t="str">
        <f>IFERROR(INDEX('Ground Truth'!$G$2:$G$105,MATCH(A11,'Ground Truth'!$A$2:$A$105,0)),"")</f>
        <v>YES</v>
      </c>
      <c r="S11" s="17" t="str">
        <f>IFERROR(INDEX('Ground Truth'!$H$2:$H$105,MATCH(A11,'Ground Truth'!$A$2:$A$105,0)),"")</f>
        <v>executable</v>
      </c>
      <c r="T11" s="17">
        <f t="shared" si="0"/>
        <v>1</v>
      </c>
      <c r="U11" s="9" t="str">
        <f t="shared" si="1"/>
        <v>Compared with user-reviewed Ground Truth</v>
      </c>
      <c r="V11" s="17">
        <f t="shared" si="2"/>
        <v>1</v>
      </c>
      <c r="W11" s="17" t="str">
        <f t="shared" si="3"/>
        <v>TP</v>
      </c>
    </row>
    <row r="12" spans="1:23" ht="28.8" customHeight="1" x14ac:dyDescent="0.3">
      <c r="A12" s="9" t="s">
        <v>59</v>
      </c>
      <c r="B12" s="9" t="s">
        <v>9</v>
      </c>
      <c r="C12" s="9" t="s">
        <v>310</v>
      </c>
      <c r="D12" s="9" t="s">
        <v>311</v>
      </c>
      <c r="E12" s="9" t="s">
        <v>60</v>
      </c>
      <c r="F12" s="9" t="s">
        <v>61</v>
      </c>
      <c r="G12" s="9" t="s">
        <v>26</v>
      </c>
      <c r="H12" s="9" t="s">
        <v>64</v>
      </c>
      <c r="I12" s="9" t="s">
        <v>321</v>
      </c>
      <c r="J12" s="9" t="s">
        <v>312</v>
      </c>
      <c r="K12" s="9" t="s">
        <v>315</v>
      </c>
      <c r="L12" s="9" t="s">
        <v>312</v>
      </c>
      <c r="M12" s="9" t="s">
        <v>312</v>
      </c>
      <c r="N12" s="9" t="s">
        <v>322</v>
      </c>
      <c r="O12" s="9"/>
      <c r="P12" s="9" t="s">
        <v>313</v>
      </c>
      <c r="Q12" s="9" t="s">
        <v>456</v>
      </c>
      <c r="R12" s="17" t="str">
        <f>IFERROR(INDEX('Ground Truth'!$G$2:$G$105,MATCH(A12,'Ground Truth'!$A$2:$A$105,0)),"")</f>
        <v>NO</v>
      </c>
      <c r="S12" s="17" t="str">
        <f>IFERROR(INDEX('Ground Truth'!$H$2:$H$105,MATCH(A12,'Ground Truth'!$A$2:$A$105,0)),"")</f>
        <v>partial</v>
      </c>
      <c r="T12" s="17">
        <f t="shared" si="0"/>
        <v>1</v>
      </c>
      <c r="U12" s="9" t="str">
        <f t="shared" si="1"/>
        <v>Compared with user-reviewed Ground Truth</v>
      </c>
      <c r="V12" s="17">
        <f t="shared" si="2"/>
        <v>1</v>
      </c>
      <c r="W12" s="17" t="str">
        <f t="shared" si="3"/>
        <v>TN</v>
      </c>
    </row>
    <row r="13" spans="1:23" ht="28.8" customHeight="1" x14ac:dyDescent="0.3">
      <c r="A13" s="9" t="s">
        <v>65</v>
      </c>
      <c r="B13" s="9" t="s">
        <v>9</v>
      </c>
      <c r="C13" s="9" t="s">
        <v>310</v>
      </c>
      <c r="D13" s="9" t="s">
        <v>311</v>
      </c>
      <c r="E13" s="9" t="s">
        <v>66</v>
      </c>
      <c r="F13" s="9" t="s">
        <v>67</v>
      </c>
      <c r="G13" s="9" t="s">
        <v>14</v>
      </c>
      <c r="H13" s="9" t="s">
        <v>15</v>
      </c>
      <c r="I13" s="9"/>
      <c r="J13" s="9" t="s">
        <v>312</v>
      </c>
      <c r="K13" s="9" t="s">
        <v>312</v>
      </c>
      <c r="L13" s="9" t="s">
        <v>312</v>
      </c>
      <c r="M13" s="9" t="s">
        <v>312</v>
      </c>
      <c r="N13" s="9"/>
      <c r="O13" s="9"/>
      <c r="P13" s="9" t="s">
        <v>313</v>
      </c>
      <c r="Q13" s="9" t="s">
        <v>456</v>
      </c>
      <c r="R13" s="17" t="str">
        <f>IFERROR(INDEX('Ground Truth'!$G$2:$G$105,MATCH(A13,'Ground Truth'!$A$2:$A$105,0)),"")</f>
        <v>YES</v>
      </c>
      <c r="S13" s="17" t="str">
        <f>IFERROR(INDEX('Ground Truth'!$H$2:$H$105,MATCH(A13,'Ground Truth'!$A$2:$A$105,0)),"")</f>
        <v>executable</v>
      </c>
      <c r="T13" s="17">
        <f t="shared" si="0"/>
        <v>1</v>
      </c>
      <c r="U13" s="9" t="str">
        <f t="shared" si="1"/>
        <v>Compared with user-reviewed Ground Truth</v>
      </c>
      <c r="V13" s="17">
        <f t="shared" si="2"/>
        <v>1</v>
      </c>
      <c r="W13" s="17" t="str">
        <f t="shared" si="3"/>
        <v>TP</v>
      </c>
    </row>
    <row r="14" spans="1:23" ht="28.8" customHeight="1" x14ac:dyDescent="0.3">
      <c r="A14" s="9" t="s">
        <v>70</v>
      </c>
      <c r="B14" s="9" t="s">
        <v>9</v>
      </c>
      <c r="C14" s="9" t="s">
        <v>310</v>
      </c>
      <c r="D14" s="9" t="s">
        <v>311</v>
      </c>
      <c r="E14" s="9" t="s">
        <v>71</v>
      </c>
      <c r="F14" s="9" t="s">
        <v>72</v>
      </c>
      <c r="G14" s="9" t="s">
        <v>26</v>
      </c>
      <c r="H14" s="9" t="s">
        <v>27</v>
      </c>
      <c r="I14" s="9" t="s">
        <v>314</v>
      </c>
      <c r="J14" s="9" t="s">
        <v>312</v>
      </c>
      <c r="K14" s="9" t="s">
        <v>315</v>
      </c>
      <c r="L14" s="9" t="s">
        <v>312</v>
      </c>
      <c r="M14" s="9" t="s">
        <v>315</v>
      </c>
      <c r="N14" s="9" t="s">
        <v>323</v>
      </c>
      <c r="O14" s="9"/>
      <c r="P14" s="9" t="s">
        <v>317</v>
      </c>
      <c r="Q14" s="9" t="s">
        <v>318</v>
      </c>
      <c r="R14" s="17" t="str">
        <f>IFERROR(INDEX('Ground Truth'!$G$2:$G$105,MATCH(A14,'Ground Truth'!$A$2:$A$105,0)),"")</f>
        <v>NO</v>
      </c>
      <c r="S14" s="17" t="str">
        <f>IFERROR(INDEX('Ground Truth'!$H$2:$H$105,MATCH(A14,'Ground Truth'!$A$2:$A$105,0)),"")</f>
        <v>insufficient_data</v>
      </c>
      <c r="T14" s="17">
        <f t="shared" si="0"/>
        <v>1</v>
      </c>
      <c r="U14" s="9" t="str">
        <f t="shared" si="1"/>
        <v>Compared with user-reviewed Ground Truth</v>
      </c>
      <c r="V14" s="17">
        <f t="shared" si="2"/>
        <v>1</v>
      </c>
      <c r="W14" s="17" t="str">
        <f t="shared" si="3"/>
        <v>TN</v>
      </c>
    </row>
    <row r="15" spans="1:23" ht="28.8" customHeight="1" x14ac:dyDescent="0.3">
      <c r="A15" s="9" t="s">
        <v>75</v>
      </c>
      <c r="B15" s="9" t="s">
        <v>9</v>
      </c>
      <c r="C15" s="9" t="s">
        <v>310</v>
      </c>
      <c r="D15" s="9" t="s">
        <v>311</v>
      </c>
      <c r="E15" s="9" t="s">
        <v>76</v>
      </c>
      <c r="F15" s="9" t="s">
        <v>77</v>
      </c>
      <c r="G15" s="9" t="s">
        <v>26</v>
      </c>
      <c r="H15" s="9" t="s">
        <v>64</v>
      </c>
      <c r="I15" s="9" t="s">
        <v>324</v>
      </c>
      <c r="J15" s="9" t="s">
        <v>312</v>
      </c>
      <c r="K15" s="9" t="s">
        <v>315</v>
      </c>
      <c r="L15" s="9" t="s">
        <v>312</v>
      </c>
      <c r="M15" s="9" t="s">
        <v>312</v>
      </c>
      <c r="N15" s="9" t="s">
        <v>325</v>
      </c>
      <c r="O15" s="9"/>
      <c r="P15" s="9" t="s">
        <v>313</v>
      </c>
      <c r="Q15" s="9" t="s">
        <v>456</v>
      </c>
      <c r="R15" s="17" t="str">
        <f>IFERROR(INDEX('Ground Truth'!$G$2:$G$105,MATCH(A15,'Ground Truth'!$A$2:$A$105,0)),"")</f>
        <v>NO</v>
      </c>
      <c r="S15" s="17" t="str">
        <f>IFERROR(INDEX('Ground Truth'!$H$2:$H$105,MATCH(A15,'Ground Truth'!$A$2:$A$105,0)),"")</f>
        <v>partial</v>
      </c>
      <c r="T15" s="17">
        <f t="shared" si="0"/>
        <v>1</v>
      </c>
      <c r="U15" s="9" t="str">
        <f t="shared" si="1"/>
        <v>Compared with user-reviewed Ground Truth</v>
      </c>
      <c r="V15" s="17">
        <f t="shared" si="2"/>
        <v>1</v>
      </c>
      <c r="W15" s="17" t="str">
        <f t="shared" si="3"/>
        <v>TN</v>
      </c>
    </row>
    <row r="16" spans="1:23" ht="28.8" customHeight="1" x14ac:dyDescent="0.3">
      <c r="A16" s="9" t="s">
        <v>80</v>
      </c>
      <c r="B16" s="9" t="s">
        <v>9</v>
      </c>
      <c r="C16" s="9" t="s">
        <v>310</v>
      </c>
      <c r="D16" s="9" t="s">
        <v>311</v>
      </c>
      <c r="E16" s="9" t="s">
        <v>81</v>
      </c>
      <c r="F16" s="9" t="s">
        <v>82</v>
      </c>
      <c r="G16" s="9" t="s">
        <v>26</v>
      </c>
      <c r="H16" s="9" t="s">
        <v>64</v>
      </c>
      <c r="I16" s="9" t="s">
        <v>321</v>
      </c>
      <c r="J16" s="9" t="s">
        <v>312</v>
      </c>
      <c r="K16" s="9" t="s">
        <v>315</v>
      </c>
      <c r="L16" s="9" t="s">
        <v>312</v>
      </c>
      <c r="M16" s="9" t="s">
        <v>312</v>
      </c>
      <c r="N16" s="9" t="s">
        <v>322</v>
      </c>
      <c r="O16" s="9"/>
      <c r="P16" s="9" t="s">
        <v>313</v>
      </c>
      <c r="Q16" s="9" t="s">
        <v>456</v>
      </c>
      <c r="R16" s="17" t="str">
        <f>IFERROR(INDEX('Ground Truth'!$G$2:$G$105,MATCH(A16,'Ground Truth'!$A$2:$A$105,0)),"")</f>
        <v>NO</v>
      </c>
      <c r="S16" s="17" t="str">
        <f>IFERROR(INDEX('Ground Truth'!$H$2:$H$105,MATCH(A16,'Ground Truth'!$A$2:$A$105,0)),"")</f>
        <v>partial</v>
      </c>
      <c r="T16" s="17">
        <f t="shared" si="0"/>
        <v>1</v>
      </c>
      <c r="U16" s="9" t="str">
        <f t="shared" si="1"/>
        <v>Compared with user-reviewed Ground Truth</v>
      </c>
      <c r="V16" s="17">
        <f t="shared" si="2"/>
        <v>1</v>
      </c>
      <c r="W16" s="17" t="str">
        <f t="shared" si="3"/>
        <v>TN</v>
      </c>
    </row>
    <row r="17" spans="1:23" ht="28.8" customHeight="1" x14ac:dyDescent="0.3">
      <c r="A17" s="9" t="s">
        <v>84</v>
      </c>
      <c r="B17" s="9" t="s">
        <v>9</v>
      </c>
      <c r="C17" s="9" t="s">
        <v>310</v>
      </c>
      <c r="D17" s="9" t="s">
        <v>311</v>
      </c>
      <c r="E17" s="9" t="s">
        <v>85</v>
      </c>
      <c r="F17" s="9" t="s">
        <v>86</v>
      </c>
      <c r="G17" s="9" t="s">
        <v>14</v>
      </c>
      <c r="H17" s="9" t="s">
        <v>15</v>
      </c>
      <c r="I17" s="9"/>
      <c r="J17" s="9" t="s">
        <v>312</v>
      </c>
      <c r="K17" s="9" t="s">
        <v>312</v>
      </c>
      <c r="L17" s="9" t="s">
        <v>312</v>
      </c>
      <c r="M17" s="9" t="s">
        <v>312</v>
      </c>
      <c r="N17" s="9"/>
      <c r="O17" s="9"/>
      <c r="P17" s="9" t="s">
        <v>313</v>
      </c>
      <c r="Q17" s="9" t="s">
        <v>456</v>
      </c>
      <c r="R17" s="17" t="str">
        <f>IFERROR(INDEX('Ground Truth'!$G$2:$G$105,MATCH(A17,'Ground Truth'!$A$2:$A$105,0)),"")</f>
        <v>YES</v>
      </c>
      <c r="S17" s="17" t="str">
        <f>IFERROR(INDEX('Ground Truth'!$H$2:$H$105,MATCH(A17,'Ground Truth'!$A$2:$A$105,0)),"")</f>
        <v>executable</v>
      </c>
      <c r="T17" s="17">
        <f t="shared" si="0"/>
        <v>1</v>
      </c>
      <c r="U17" s="9" t="str">
        <f t="shared" si="1"/>
        <v>Compared with user-reviewed Ground Truth</v>
      </c>
      <c r="V17" s="17">
        <f t="shared" si="2"/>
        <v>1</v>
      </c>
      <c r="W17" s="17" t="str">
        <f t="shared" si="3"/>
        <v>TP</v>
      </c>
    </row>
    <row r="18" spans="1:23" ht="28.8" customHeight="1" x14ac:dyDescent="0.3">
      <c r="A18" s="9" t="s">
        <v>89</v>
      </c>
      <c r="B18" s="9" t="s">
        <v>9</v>
      </c>
      <c r="C18" s="9" t="s">
        <v>310</v>
      </c>
      <c r="D18" s="9" t="s">
        <v>311</v>
      </c>
      <c r="E18" s="9" t="s">
        <v>90</v>
      </c>
      <c r="F18" s="9" t="s">
        <v>91</v>
      </c>
      <c r="G18" s="9" t="s">
        <v>14</v>
      </c>
      <c r="H18" s="9" t="s">
        <v>15</v>
      </c>
      <c r="I18" s="9"/>
      <c r="J18" s="9" t="s">
        <v>312</v>
      </c>
      <c r="K18" s="9" t="s">
        <v>312</v>
      </c>
      <c r="L18" s="9" t="s">
        <v>312</v>
      </c>
      <c r="M18" s="9" t="s">
        <v>312</v>
      </c>
      <c r="N18" s="9"/>
      <c r="O18" s="9"/>
      <c r="P18" s="9" t="s">
        <v>313</v>
      </c>
      <c r="Q18" s="9" t="s">
        <v>456</v>
      </c>
      <c r="R18" s="17" t="str">
        <f>IFERROR(INDEX('Ground Truth'!$G$2:$G$105,MATCH(A18,'Ground Truth'!$A$2:$A$105,0)),"")</f>
        <v>YES</v>
      </c>
      <c r="S18" s="17" t="str">
        <f>IFERROR(INDEX('Ground Truth'!$H$2:$H$105,MATCH(A18,'Ground Truth'!$A$2:$A$105,0)),"")</f>
        <v>executable</v>
      </c>
      <c r="T18" s="17">
        <f t="shared" si="0"/>
        <v>1</v>
      </c>
      <c r="U18" s="9" t="str">
        <f t="shared" si="1"/>
        <v>Compared with user-reviewed Ground Truth</v>
      </c>
      <c r="V18" s="17">
        <f t="shared" si="2"/>
        <v>1</v>
      </c>
      <c r="W18" s="17" t="str">
        <f t="shared" si="3"/>
        <v>TP</v>
      </c>
    </row>
    <row r="19" spans="1:23" ht="28.8" customHeight="1" x14ac:dyDescent="0.3">
      <c r="A19" s="9" t="s">
        <v>94</v>
      </c>
      <c r="B19" s="9" t="s">
        <v>9</v>
      </c>
      <c r="C19" s="9" t="s">
        <v>310</v>
      </c>
      <c r="D19" s="9" t="s">
        <v>311</v>
      </c>
      <c r="E19" s="9" t="s">
        <v>95</v>
      </c>
      <c r="F19" s="9" t="s">
        <v>96</v>
      </c>
      <c r="G19" s="9" t="s">
        <v>14</v>
      </c>
      <c r="H19" s="9" t="s">
        <v>15</v>
      </c>
      <c r="I19" s="9"/>
      <c r="J19" s="9" t="s">
        <v>312</v>
      </c>
      <c r="K19" s="9" t="s">
        <v>312</v>
      </c>
      <c r="L19" s="9" t="s">
        <v>312</v>
      </c>
      <c r="M19" s="9" t="s">
        <v>312</v>
      </c>
      <c r="N19" s="9"/>
      <c r="O19" s="9"/>
      <c r="P19" s="9" t="s">
        <v>313</v>
      </c>
      <c r="Q19" s="9" t="s">
        <v>456</v>
      </c>
      <c r="R19" s="17" t="str">
        <f>IFERROR(INDEX('Ground Truth'!$G$2:$G$105,MATCH(A19,'Ground Truth'!$A$2:$A$105,0)),"")</f>
        <v>YES</v>
      </c>
      <c r="S19" s="17" t="str">
        <f>IFERROR(INDEX('Ground Truth'!$H$2:$H$105,MATCH(A19,'Ground Truth'!$A$2:$A$105,0)),"")</f>
        <v>executable</v>
      </c>
      <c r="T19" s="17">
        <f t="shared" si="0"/>
        <v>1</v>
      </c>
      <c r="U19" s="9" t="str">
        <f t="shared" si="1"/>
        <v>Compared with user-reviewed Ground Truth</v>
      </c>
      <c r="V19" s="17">
        <f t="shared" si="2"/>
        <v>1</v>
      </c>
      <c r="W19" s="17" t="str">
        <f t="shared" si="3"/>
        <v>TP</v>
      </c>
    </row>
    <row r="20" spans="1:23" ht="28.8" customHeight="1" x14ac:dyDescent="0.3">
      <c r="A20" s="9" t="s">
        <v>98</v>
      </c>
      <c r="B20" s="9" t="s">
        <v>9</v>
      </c>
      <c r="C20" s="9" t="s">
        <v>310</v>
      </c>
      <c r="D20" s="9" t="s">
        <v>311</v>
      </c>
      <c r="E20" s="9" t="s">
        <v>99</v>
      </c>
      <c r="F20" s="9" t="s">
        <v>100</v>
      </c>
      <c r="G20" s="9" t="s">
        <v>14</v>
      </c>
      <c r="H20" s="9" t="s">
        <v>15</v>
      </c>
      <c r="I20" s="9"/>
      <c r="J20" s="9" t="s">
        <v>312</v>
      </c>
      <c r="K20" s="9" t="s">
        <v>312</v>
      </c>
      <c r="L20" s="9" t="s">
        <v>312</v>
      </c>
      <c r="M20" s="9" t="s">
        <v>312</v>
      </c>
      <c r="N20" s="9"/>
      <c r="O20" s="9"/>
      <c r="P20" s="9" t="s">
        <v>313</v>
      </c>
      <c r="Q20" s="9" t="s">
        <v>456</v>
      </c>
      <c r="R20" s="17" t="str">
        <f>IFERROR(INDEX('Ground Truth'!$G$2:$G$105,MATCH(A20,'Ground Truth'!$A$2:$A$105,0)),"")</f>
        <v>YES</v>
      </c>
      <c r="S20" s="17" t="str">
        <f>IFERROR(INDEX('Ground Truth'!$H$2:$H$105,MATCH(A20,'Ground Truth'!$A$2:$A$105,0)),"")</f>
        <v>executable</v>
      </c>
      <c r="T20" s="17">
        <f t="shared" si="0"/>
        <v>1</v>
      </c>
      <c r="U20" s="9" t="str">
        <f t="shared" si="1"/>
        <v>Compared with user-reviewed Ground Truth</v>
      </c>
      <c r="V20" s="17">
        <f t="shared" si="2"/>
        <v>1</v>
      </c>
      <c r="W20" s="17" t="str">
        <f t="shared" si="3"/>
        <v>TP</v>
      </c>
    </row>
    <row r="21" spans="1:23" ht="28.8" customHeight="1" x14ac:dyDescent="0.3">
      <c r="A21" s="9" t="s">
        <v>103</v>
      </c>
      <c r="B21" s="9" t="s">
        <v>9</v>
      </c>
      <c r="C21" s="9" t="s">
        <v>310</v>
      </c>
      <c r="D21" s="9" t="s">
        <v>311</v>
      </c>
      <c r="E21" s="9" t="s">
        <v>104</v>
      </c>
      <c r="F21" s="9" t="s">
        <v>105</v>
      </c>
      <c r="G21" s="9" t="s">
        <v>14</v>
      </c>
      <c r="H21" s="9" t="s">
        <v>15</v>
      </c>
      <c r="I21" s="9"/>
      <c r="J21" s="9" t="s">
        <v>312</v>
      </c>
      <c r="K21" s="9" t="s">
        <v>312</v>
      </c>
      <c r="L21" s="9" t="s">
        <v>312</v>
      </c>
      <c r="M21" s="9" t="s">
        <v>312</v>
      </c>
      <c r="N21" s="9"/>
      <c r="O21" s="9"/>
      <c r="P21" s="9" t="s">
        <v>313</v>
      </c>
      <c r="Q21" s="9" t="s">
        <v>456</v>
      </c>
      <c r="R21" s="17" t="str">
        <f>IFERROR(INDEX('Ground Truth'!$G$2:$G$105,MATCH(A21,'Ground Truth'!$A$2:$A$105,0)),"")</f>
        <v>YES</v>
      </c>
      <c r="S21" s="17" t="str">
        <f>IFERROR(INDEX('Ground Truth'!$H$2:$H$105,MATCH(A21,'Ground Truth'!$A$2:$A$105,0)),"")</f>
        <v>executable</v>
      </c>
      <c r="T21" s="17">
        <f t="shared" si="0"/>
        <v>1</v>
      </c>
      <c r="U21" s="9" t="str">
        <f t="shared" si="1"/>
        <v>Compared with user-reviewed Ground Truth</v>
      </c>
      <c r="V21" s="17">
        <f t="shared" si="2"/>
        <v>1</v>
      </c>
      <c r="W21" s="17" t="str">
        <f t="shared" si="3"/>
        <v>TP</v>
      </c>
    </row>
    <row r="22" spans="1:23" ht="28.8" customHeight="1" x14ac:dyDescent="0.3">
      <c r="A22" s="9" t="s">
        <v>108</v>
      </c>
      <c r="B22" s="9" t="s">
        <v>9</v>
      </c>
      <c r="C22" s="9" t="s">
        <v>310</v>
      </c>
      <c r="D22" s="9" t="s">
        <v>311</v>
      </c>
      <c r="E22" s="9" t="s">
        <v>109</v>
      </c>
      <c r="F22" s="9" t="s">
        <v>110</v>
      </c>
      <c r="G22" s="9" t="s">
        <v>26</v>
      </c>
      <c r="H22" s="9" t="s">
        <v>27</v>
      </c>
      <c r="I22" s="9" t="s">
        <v>314</v>
      </c>
      <c r="J22" s="9" t="s">
        <v>312</v>
      </c>
      <c r="K22" s="9" t="s">
        <v>315</v>
      </c>
      <c r="L22" s="9" t="s">
        <v>312</v>
      </c>
      <c r="M22" s="9" t="s">
        <v>315</v>
      </c>
      <c r="N22" s="9" t="s">
        <v>316</v>
      </c>
      <c r="O22" s="9"/>
      <c r="P22" s="9" t="s">
        <v>317</v>
      </c>
      <c r="Q22" s="9" t="s">
        <v>318</v>
      </c>
      <c r="R22" s="17" t="str">
        <f>IFERROR(INDEX('Ground Truth'!$G$2:$G$105,MATCH(A22,'Ground Truth'!$A$2:$A$105,0)),"")</f>
        <v>NO</v>
      </c>
      <c r="S22" s="17" t="str">
        <f>IFERROR(INDEX('Ground Truth'!$H$2:$H$105,MATCH(A22,'Ground Truth'!$A$2:$A$105,0)),"")</f>
        <v>insufficient_data</v>
      </c>
      <c r="T22" s="17">
        <f t="shared" si="0"/>
        <v>1</v>
      </c>
      <c r="U22" s="9" t="str">
        <f t="shared" si="1"/>
        <v>Compared with user-reviewed Ground Truth</v>
      </c>
      <c r="V22" s="17">
        <f t="shared" si="2"/>
        <v>1</v>
      </c>
      <c r="W22" s="17" t="str">
        <f t="shared" si="3"/>
        <v>TN</v>
      </c>
    </row>
    <row r="23" spans="1:23" ht="28.8" customHeight="1" x14ac:dyDescent="0.3">
      <c r="A23" s="9" t="s">
        <v>112</v>
      </c>
      <c r="B23" s="9" t="s">
        <v>9</v>
      </c>
      <c r="C23" s="9" t="s">
        <v>310</v>
      </c>
      <c r="D23" s="9" t="s">
        <v>311</v>
      </c>
      <c r="E23" s="9" t="s">
        <v>113</v>
      </c>
      <c r="F23" s="9" t="s">
        <v>114</v>
      </c>
      <c r="G23" s="9" t="s">
        <v>26</v>
      </c>
      <c r="H23" s="9" t="s">
        <v>27</v>
      </c>
      <c r="I23" s="9" t="s">
        <v>320</v>
      </c>
      <c r="J23" s="9" t="s">
        <v>312</v>
      </c>
      <c r="K23" s="9" t="s">
        <v>315</v>
      </c>
      <c r="L23" s="9" t="s">
        <v>312</v>
      </c>
      <c r="M23" s="9" t="s">
        <v>315</v>
      </c>
      <c r="N23" s="9" t="s">
        <v>319</v>
      </c>
      <c r="O23" s="9"/>
      <c r="P23" s="9" t="s">
        <v>317</v>
      </c>
      <c r="Q23" s="9" t="s">
        <v>318</v>
      </c>
      <c r="R23" s="17" t="str">
        <f>IFERROR(INDEX('Ground Truth'!$G$2:$G$105,MATCH(A23,'Ground Truth'!$A$2:$A$105,0)),"")</f>
        <v>NO</v>
      </c>
      <c r="S23" s="17" t="str">
        <f>IFERROR(INDEX('Ground Truth'!$H$2:$H$105,MATCH(A23,'Ground Truth'!$A$2:$A$105,0)),"")</f>
        <v>insufficient_data</v>
      </c>
      <c r="T23" s="17">
        <f t="shared" si="0"/>
        <v>1</v>
      </c>
      <c r="U23" s="9" t="str">
        <f t="shared" si="1"/>
        <v>Compared with user-reviewed Ground Truth</v>
      </c>
      <c r="V23" s="17">
        <f t="shared" si="2"/>
        <v>1</v>
      </c>
      <c r="W23" s="17" t="str">
        <f t="shared" si="3"/>
        <v>TN</v>
      </c>
    </row>
    <row r="24" spans="1:23" ht="28.8" customHeight="1" x14ac:dyDescent="0.3">
      <c r="A24" s="9" t="s">
        <v>116</v>
      </c>
      <c r="B24" s="9" t="s">
        <v>9</v>
      </c>
      <c r="C24" s="9" t="s">
        <v>310</v>
      </c>
      <c r="D24" s="9" t="s">
        <v>311</v>
      </c>
      <c r="E24" s="9" t="s">
        <v>117</v>
      </c>
      <c r="F24" s="9" t="s">
        <v>118</v>
      </c>
      <c r="G24" s="9" t="s">
        <v>26</v>
      </c>
      <c r="H24" s="9" t="s">
        <v>27</v>
      </c>
      <c r="I24" s="9" t="s">
        <v>314</v>
      </c>
      <c r="J24" s="9" t="s">
        <v>312</v>
      </c>
      <c r="K24" s="9" t="s">
        <v>315</v>
      </c>
      <c r="L24" s="9" t="s">
        <v>312</v>
      </c>
      <c r="M24" s="9" t="s">
        <v>315</v>
      </c>
      <c r="N24" s="9" t="s">
        <v>316</v>
      </c>
      <c r="O24" s="9"/>
      <c r="P24" s="9" t="s">
        <v>317</v>
      </c>
      <c r="Q24" s="9" t="s">
        <v>318</v>
      </c>
      <c r="R24" s="17" t="str">
        <f>IFERROR(INDEX('Ground Truth'!$G$2:$G$105,MATCH(A24,'Ground Truth'!$A$2:$A$105,0)),"")</f>
        <v>NO</v>
      </c>
      <c r="S24" s="17" t="str">
        <f>IFERROR(INDEX('Ground Truth'!$H$2:$H$105,MATCH(A24,'Ground Truth'!$A$2:$A$105,0)),"")</f>
        <v>insufficient_data</v>
      </c>
      <c r="T24" s="17">
        <f t="shared" si="0"/>
        <v>1</v>
      </c>
      <c r="U24" s="9" t="str">
        <f t="shared" si="1"/>
        <v>Compared with user-reviewed Ground Truth</v>
      </c>
      <c r="V24" s="17">
        <f t="shared" si="2"/>
        <v>1</v>
      </c>
      <c r="W24" s="17" t="str">
        <f t="shared" si="3"/>
        <v>TN</v>
      </c>
    </row>
    <row r="25" spans="1:23" ht="28.8" customHeight="1" x14ac:dyDescent="0.3">
      <c r="A25" s="9" t="s">
        <v>121</v>
      </c>
      <c r="B25" s="9" t="s">
        <v>9</v>
      </c>
      <c r="C25" s="9" t="s">
        <v>310</v>
      </c>
      <c r="D25" s="9" t="s">
        <v>311</v>
      </c>
      <c r="E25" s="9" t="s">
        <v>122</v>
      </c>
      <c r="F25" s="9" t="s">
        <v>123</v>
      </c>
      <c r="G25" s="9" t="s">
        <v>14</v>
      </c>
      <c r="H25" s="9" t="s">
        <v>15</v>
      </c>
      <c r="I25" s="9"/>
      <c r="J25" s="9" t="s">
        <v>312</v>
      </c>
      <c r="K25" s="9" t="s">
        <v>312</v>
      </c>
      <c r="L25" s="9" t="s">
        <v>312</v>
      </c>
      <c r="M25" s="9" t="s">
        <v>312</v>
      </c>
      <c r="N25" s="9"/>
      <c r="O25" s="9"/>
      <c r="P25" s="9" t="s">
        <v>313</v>
      </c>
      <c r="Q25" s="9" t="s">
        <v>456</v>
      </c>
      <c r="R25" s="17" t="str">
        <f>IFERROR(INDEX('Ground Truth'!$G$2:$G$105,MATCH(A25,'Ground Truth'!$A$2:$A$105,0)),"")</f>
        <v>YES</v>
      </c>
      <c r="S25" s="17" t="str">
        <f>IFERROR(INDEX('Ground Truth'!$H$2:$H$105,MATCH(A25,'Ground Truth'!$A$2:$A$105,0)),"")</f>
        <v>executable</v>
      </c>
      <c r="T25" s="17">
        <f t="shared" si="0"/>
        <v>1</v>
      </c>
      <c r="U25" s="9" t="str">
        <f t="shared" si="1"/>
        <v>Compared with user-reviewed Ground Truth</v>
      </c>
      <c r="V25" s="17">
        <f t="shared" si="2"/>
        <v>1</v>
      </c>
      <c r="W25" s="17" t="str">
        <f t="shared" si="3"/>
        <v>TP</v>
      </c>
    </row>
    <row r="26" spans="1:23" ht="28.8" customHeight="1" x14ac:dyDescent="0.3">
      <c r="A26" s="9" t="s">
        <v>124</v>
      </c>
      <c r="B26" s="9" t="s">
        <v>9</v>
      </c>
      <c r="C26" s="9" t="s">
        <v>310</v>
      </c>
      <c r="D26" s="9" t="s">
        <v>311</v>
      </c>
      <c r="E26" s="9" t="s">
        <v>125</v>
      </c>
      <c r="F26" s="9" t="s">
        <v>126</v>
      </c>
      <c r="G26" s="9" t="s">
        <v>26</v>
      </c>
      <c r="H26" s="9" t="s">
        <v>27</v>
      </c>
      <c r="I26" s="9" t="s">
        <v>314</v>
      </c>
      <c r="J26" s="9" t="s">
        <v>312</v>
      </c>
      <c r="K26" s="9" t="s">
        <v>315</v>
      </c>
      <c r="L26" s="9" t="s">
        <v>312</v>
      </c>
      <c r="M26" s="9" t="s">
        <v>315</v>
      </c>
      <c r="N26" s="9" t="s">
        <v>319</v>
      </c>
      <c r="O26" s="9"/>
      <c r="P26" s="9" t="s">
        <v>317</v>
      </c>
      <c r="Q26" s="9" t="s">
        <v>318</v>
      </c>
      <c r="R26" s="17" t="str">
        <f>IFERROR(INDEX('Ground Truth'!$G$2:$G$105,MATCH(A26,'Ground Truth'!$A$2:$A$105,0)),"")</f>
        <v>NO</v>
      </c>
      <c r="S26" s="17" t="str">
        <f>IFERROR(INDEX('Ground Truth'!$H$2:$H$105,MATCH(A26,'Ground Truth'!$A$2:$A$105,0)),"")</f>
        <v>insufficient_data</v>
      </c>
      <c r="T26" s="17">
        <f t="shared" si="0"/>
        <v>1</v>
      </c>
      <c r="U26" s="9" t="str">
        <f t="shared" si="1"/>
        <v>Compared with user-reviewed Ground Truth</v>
      </c>
      <c r="V26" s="17">
        <f t="shared" si="2"/>
        <v>1</v>
      </c>
      <c r="W26" s="17" t="str">
        <f t="shared" si="3"/>
        <v>TN</v>
      </c>
    </row>
    <row r="27" spans="1:23" ht="28.8" customHeight="1" x14ac:dyDescent="0.3">
      <c r="A27" s="9" t="s">
        <v>128</v>
      </c>
      <c r="B27" s="9" t="s">
        <v>9</v>
      </c>
      <c r="C27" s="9" t="s">
        <v>310</v>
      </c>
      <c r="D27" s="9" t="s">
        <v>311</v>
      </c>
      <c r="E27" s="9" t="s">
        <v>129</v>
      </c>
      <c r="F27" s="9" t="s">
        <v>130</v>
      </c>
      <c r="G27" s="9" t="s">
        <v>14</v>
      </c>
      <c r="H27" s="9" t="s">
        <v>15</v>
      </c>
      <c r="I27" s="9"/>
      <c r="J27" s="9" t="s">
        <v>312</v>
      </c>
      <c r="K27" s="9" t="s">
        <v>312</v>
      </c>
      <c r="L27" s="9" t="s">
        <v>312</v>
      </c>
      <c r="M27" s="9" t="s">
        <v>312</v>
      </c>
      <c r="N27" s="9"/>
      <c r="O27" s="9"/>
      <c r="P27" s="9" t="s">
        <v>313</v>
      </c>
      <c r="Q27" s="9" t="s">
        <v>456</v>
      </c>
      <c r="R27" s="17" t="str">
        <f>IFERROR(INDEX('Ground Truth'!$G$2:$G$105,MATCH(A27,'Ground Truth'!$A$2:$A$105,0)),"")</f>
        <v>YES</v>
      </c>
      <c r="S27" s="17" t="str">
        <f>IFERROR(INDEX('Ground Truth'!$H$2:$H$105,MATCH(A27,'Ground Truth'!$A$2:$A$105,0)),"")</f>
        <v>executable</v>
      </c>
      <c r="T27" s="17">
        <f t="shared" si="0"/>
        <v>1</v>
      </c>
      <c r="U27" s="9" t="str">
        <f t="shared" si="1"/>
        <v>Compared with user-reviewed Ground Truth</v>
      </c>
      <c r="V27" s="17">
        <f t="shared" si="2"/>
        <v>1</v>
      </c>
      <c r="W27" s="17" t="str">
        <f t="shared" si="3"/>
        <v>TP</v>
      </c>
    </row>
    <row r="28" spans="1:23" ht="28.8" customHeight="1" x14ac:dyDescent="0.3">
      <c r="A28" s="9" t="s">
        <v>131</v>
      </c>
      <c r="B28" s="9" t="s">
        <v>9</v>
      </c>
      <c r="C28" s="9" t="s">
        <v>310</v>
      </c>
      <c r="D28" s="9" t="s">
        <v>311</v>
      </c>
      <c r="E28" s="9" t="s">
        <v>132</v>
      </c>
      <c r="F28" s="9" t="s">
        <v>133</v>
      </c>
      <c r="G28" s="9" t="s">
        <v>14</v>
      </c>
      <c r="H28" s="9" t="s">
        <v>15</v>
      </c>
      <c r="I28" s="9"/>
      <c r="J28" s="9" t="s">
        <v>312</v>
      </c>
      <c r="K28" s="9" t="s">
        <v>312</v>
      </c>
      <c r="L28" s="9" t="s">
        <v>312</v>
      </c>
      <c r="M28" s="9" t="s">
        <v>312</v>
      </c>
      <c r="N28" s="9"/>
      <c r="O28" s="9"/>
      <c r="P28" s="9" t="s">
        <v>313</v>
      </c>
      <c r="Q28" s="9" t="s">
        <v>456</v>
      </c>
      <c r="R28" s="17" t="str">
        <f>IFERROR(INDEX('Ground Truth'!$G$2:$G$105,MATCH(A28,'Ground Truth'!$A$2:$A$105,0)),"")</f>
        <v>YES</v>
      </c>
      <c r="S28" s="17" t="str">
        <f>IFERROR(INDEX('Ground Truth'!$H$2:$H$105,MATCH(A28,'Ground Truth'!$A$2:$A$105,0)),"")</f>
        <v>executable</v>
      </c>
      <c r="T28" s="17">
        <f t="shared" si="0"/>
        <v>1</v>
      </c>
      <c r="U28" s="9" t="str">
        <f t="shared" si="1"/>
        <v>Compared with user-reviewed Ground Truth</v>
      </c>
      <c r="V28" s="17">
        <f t="shared" si="2"/>
        <v>1</v>
      </c>
      <c r="W28" s="17" t="str">
        <f t="shared" si="3"/>
        <v>TP</v>
      </c>
    </row>
    <row r="29" spans="1:23" ht="28.8" customHeight="1" x14ac:dyDescent="0.3">
      <c r="A29" s="9" t="s">
        <v>134</v>
      </c>
      <c r="B29" s="9" t="s">
        <v>9</v>
      </c>
      <c r="C29" s="9" t="s">
        <v>310</v>
      </c>
      <c r="D29" s="9" t="s">
        <v>311</v>
      </c>
      <c r="E29" s="9" t="s">
        <v>135</v>
      </c>
      <c r="F29" s="9" t="s">
        <v>136</v>
      </c>
      <c r="G29" s="9" t="s">
        <v>26</v>
      </c>
      <c r="H29" s="9" t="s">
        <v>64</v>
      </c>
      <c r="I29" s="9" t="s">
        <v>321</v>
      </c>
      <c r="J29" s="9" t="s">
        <v>312</v>
      </c>
      <c r="K29" s="9" t="s">
        <v>315</v>
      </c>
      <c r="L29" s="9" t="s">
        <v>312</v>
      </c>
      <c r="M29" s="9" t="s">
        <v>312</v>
      </c>
      <c r="N29" s="9" t="s">
        <v>322</v>
      </c>
      <c r="O29" s="9"/>
      <c r="P29" s="9" t="s">
        <v>313</v>
      </c>
      <c r="Q29" s="9" t="s">
        <v>456</v>
      </c>
      <c r="R29" s="17" t="str">
        <f>IFERROR(INDEX('Ground Truth'!$G$2:$G$105,MATCH(A29,'Ground Truth'!$A$2:$A$105,0)),"")</f>
        <v>NO</v>
      </c>
      <c r="S29" s="17" t="str">
        <f>IFERROR(INDEX('Ground Truth'!$H$2:$H$105,MATCH(A29,'Ground Truth'!$A$2:$A$105,0)),"")</f>
        <v>partial</v>
      </c>
      <c r="T29" s="17">
        <f t="shared" si="0"/>
        <v>1</v>
      </c>
      <c r="U29" s="9" t="str">
        <f t="shared" si="1"/>
        <v>Compared with user-reviewed Ground Truth</v>
      </c>
      <c r="V29" s="17">
        <f t="shared" si="2"/>
        <v>1</v>
      </c>
      <c r="W29" s="17" t="str">
        <f t="shared" si="3"/>
        <v>TN</v>
      </c>
    </row>
    <row r="30" spans="1:23" ht="28.8" customHeight="1" x14ac:dyDescent="0.3">
      <c r="A30" s="9" t="s">
        <v>137</v>
      </c>
      <c r="B30" s="9" t="s">
        <v>9</v>
      </c>
      <c r="C30" s="9" t="s">
        <v>310</v>
      </c>
      <c r="D30" s="9" t="s">
        <v>311</v>
      </c>
      <c r="E30" s="9" t="s">
        <v>138</v>
      </c>
      <c r="F30" s="9" t="s">
        <v>139</v>
      </c>
      <c r="G30" s="9" t="s">
        <v>14</v>
      </c>
      <c r="H30" s="9" t="s">
        <v>15</v>
      </c>
      <c r="I30" s="9"/>
      <c r="J30" s="9" t="s">
        <v>312</v>
      </c>
      <c r="K30" s="9" t="s">
        <v>312</v>
      </c>
      <c r="L30" s="9" t="s">
        <v>312</v>
      </c>
      <c r="M30" s="9" t="s">
        <v>312</v>
      </c>
      <c r="N30" s="9"/>
      <c r="O30" s="9"/>
      <c r="P30" s="9" t="s">
        <v>313</v>
      </c>
      <c r="Q30" s="9" t="s">
        <v>456</v>
      </c>
      <c r="R30" s="17" t="str">
        <f>IFERROR(INDEX('Ground Truth'!$G$2:$G$105,MATCH(A30,'Ground Truth'!$A$2:$A$105,0)),"")</f>
        <v>YES</v>
      </c>
      <c r="S30" s="17" t="str">
        <f>IFERROR(INDEX('Ground Truth'!$H$2:$H$105,MATCH(A30,'Ground Truth'!$A$2:$A$105,0)),"")</f>
        <v>executable</v>
      </c>
      <c r="T30" s="17">
        <f t="shared" si="0"/>
        <v>1</v>
      </c>
      <c r="U30" s="9" t="str">
        <f t="shared" si="1"/>
        <v>Compared with user-reviewed Ground Truth</v>
      </c>
      <c r="V30" s="17">
        <f t="shared" si="2"/>
        <v>1</v>
      </c>
      <c r="W30" s="17" t="str">
        <f t="shared" si="3"/>
        <v>TP</v>
      </c>
    </row>
    <row r="31" spans="1:23" ht="28.8" customHeight="1" x14ac:dyDescent="0.3">
      <c r="A31" s="9" t="s">
        <v>141</v>
      </c>
      <c r="B31" s="9" t="s">
        <v>9</v>
      </c>
      <c r="C31" s="9" t="s">
        <v>310</v>
      </c>
      <c r="D31" s="9" t="s">
        <v>311</v>
      </c>
      <c r="E31" s="9" t="s">
        <v>142</v>
      </c>
      <c r="F31" s="9" t="s">
        <v>143</v>
      </c>
      <c r="G31" s="9" t="s">
        <v>26</v>
      </c>
      <c r="H31" s="9" t="s">
        <v>27</v>
      </c>
      <c r="I31" s="9" t="s">
        <v>326</v>
      </c>
      <c r="J31" s="9" t="s">
        <v>312</v>
      </c>
      <c r="K31" s="9" t="s">
        <v>315</v>
      </c>
      <c r="L31" s="9" t="s">
        <v>312</v>
      </c>
      <c r="M31" s="9" t="s">
        <v>315</v>
      </c>
      <c r="N31" s="9" t="s">
        <v>316</v>
      </c>
      <c r="O31" s="9"/>
      <c r="P31" s="9" t="s">
        <v>317</v>
      </c>
      <c r="Q31" s="9" t="s">
        <v>318</v>
      </c>
      <c r="R31" s="17" t="str">
        <f>IFERROR(INDEX('Ground Truth'!$G$2:$G$105,MATCH(A31,'Ground Truth'!$A$2:$A$105,0)),"")</f>
        <v>NO</v>
      </c>
      <c r="S31" s="17" t="str">
        <f>IFERROR(INDEX('Ground Truth'!$H$2:$H$105,MATCH(A31,'Ground Truth'!$A$2:$A$105,0)),"")</f>
        <v>insufficient_data</v>
      </c>
      <c r="T31" s="17">
        <f t="shared" si="0"/>
        <v>1</v>
      </c>
      <c r="U31" s="9" t="str">
        <f t="shared" si="1"/>
        <v>Compared with user-reviewed Ground Truth</v>
      </c>
      <c r="V31" s="17">
        <f t="shared" si="2"/>
        <v>1</v>
      </c>
      <c r="W31" s="17" t="str">
        <f t="shared" si="3"/>
        <v>TN</v>
      </c>
    </row>
    <row r="32" spans="1:23" ht="28.8" customHeight="1" x14ac:dyDescent="0.3">
      <c r="A32" s="9" t="s">
        <v>146</v>
      </c>
      <c r="B32" s="9" t="s">
        <v>9</v>
      </c>
      <c r="C32" s="9" t="s">
        <v>310</v>
      </c>
      <c r="D32" s="9" t="s">
        <v>311</v>
      </c>
      <c r="E32" s="9" t="s">
        <v>147</v>
      </c>
      <c r="F32" s="9" t="s">
        <v>148</v>
      </c>
      <c r="G32" s="9" t="s">
        <v>14</v>
      </c>
      <c r="H32" s="9" t="s">
        <v>15</v>
      </c>
      <c r="I32" s="9"/>
      <c r="J32" s="9" t="s">
        <v>312</v>
      </c>
      <c r="K32" s="9" t="s">
        <v>312</v>
      </c>
      <c r="L32" s="9" t="s">
        <v>312</v>
      </c>
      <c r="M32" s="9" t="s">
        <v>312</v>
      </c>
      <c r="N32" s="9"/>
      <c r="O32" s="9"/>
      <c r="P32" s="9" t="s">
        <v>313</v>
      </c>
      <c r="Q32" s="18" t="s">
        <v>456</v>
      </c>
      <c r="R32" s="17" t="str">
        <f>IFERROR(INDEX('Ground Truth'!$G$2:$G$105,MATCH(A32,'Ground Truth'!$A$2:$A$105,0)),"")</f>
        <v>YES</v>
      </c>
      <c r="S32" s="17" t="str">
        <f>IFERROR(INDEX('Ground Truth'!$H$2:$H$105,MATCH(A32,'Ground Truth'!$A$2:$A$105,0)),"")</f>
        <v>executable</v>
      </c>
      <c r="T32" s="17">
        <f t="shared" si="0"/>
        <v>1</v>
      </c>
      <c r="U32" s="9" t="str">
        <f t="shared" si="1"/>
        <v>Compared with user-reviewed Ground Truth</v>
      </c>
      <c r="V32" s="17">
        <f t="shared" si="2"/>
        <v>1</v>
      </c>
      <c r="W32" s="17" t="str">
        <f t="shared" si="3"/>
        <v>TP</v>
      </c>
    </row>
    <row r="33" spans="1:23" ht="28.8" customHeight="1" x14ac:dyDescent="0.3">
      <c r="A33" s="9" t="s">
        <v>150</v>
      </c>
      <c r="B33" s="9" t="s">
        <v>9</v>
      </c>
      <c r="C33" s="9" t="s">
        <v>310</v>
      </c>
      <c r="D33" s="9" t="s">
        <v>311</v>
      </c>
      <c r="E33" s="9" t="s">
        <v>151</v>
      </c>
      <c r="F33" s="9" t="s">
        <v>152</v>
      </c>
      <c r="G33" s="9" t="s">
        <v>26</v>
      </c>
      <c r="H33" s="9" t="s">
        <v>27</v>
      </c>
      <c r="I33" s="9" t="s">
        <v>326</v>
      </c>
      <c r="J33" s="9" t="s">
        <v>312</v>
      </c>
      <c r="K33" s="9" t="s">
        <v>315</v>
      </c>
      <c r="L33" s="9" t="s">
        <v>312</v>
      </c>
      <c r="M33" s="9" t="s">
        <v>315</v>
      </c>
      <c r="N33" s="9" t="s">
        <v>316</v>
      </c>
      <c r="O33" s="9"/>
      <c r="P33" s="9" t="s">
        <v>317</v>
      </c>
      <c r="Q33" s="9" t="s">
        <v>318</v>
      </c>
      <c r="R33" s="17" t="str">
        <f>IFERROR(INDEX('Ground Truth'!$G$2:$G$105,MATCH(A33,'Ground Truth'!$A$2:$A$105,0)),"")</f>
        <v>NO</v>
      </c>
      <c r="S33" s="17" t="str">
        <f>IFERROR(INDEX('Ground Truth'!$H$2:$H$105,MATCH(A33,'Ground Truth'!$A$2:$A$105,0)),"")</f>
        <v>insufficient_data</v>
      </c>
      <c r="T33" s="17">
        <f t="shared" si="0"/>
        <v>1</v>
      </c>
      <c r="U33" s="9" t="str">
        <f t="shared" si="1"/>
        <v>Compared with user-reviewed Ground Truth</v>
      </c>
      <c r="V33" s="17">
        <f t="shared" si="2"/>
        <v>1</v>
      </c>
      <c r="W33" s="17" t="str">
        <f t="shared" si="3"/>
        <v>TN</v>
      </c>
    </row>
    <row r="34" spans="1:23" ht="28.8" customHeight="1" x14ac:dyDescent="0.3">
      <c r="A34" s="9" t="s">
        <v>154</v>
      </c>
      <c r="B34" s="9" t="s">
        <v>9</v>
      </c>
      <c r="C34" s="9" t="s">
        <v>310</v>
      </c>
      <c r="D34" s="9" t="s">
        <v>311</v>
      </c>
      <c r="E34" s="9" t="s">
        <v>155</v>
      </c>
      <c r="F34" s="9" t="s">
        <v>156</v>
      </c>
      <c r="G34" s="9" t="s">
        <v>26</v>
      </c>
      <c r="H34" s="9" t="s">
        <v>27</v>
      </c>
      <c r="I34" s="9" t="s">
        <v>326</v>
      </c>
      <c r="J34" s="9" t="s">
        <v>312</v>
      </c>
      <c r="K34" s="9" t="s">
        <v>315</v>
      </c>
      <c r="L34" s="9" t="s">
        <v>312</v>
      </c>
      <c r="M34" s="9" t="s">
        <v>315</v>
      </c>
      <c r="N34" s="9" t="s">
        <v>316</v>
      </c>
      <c r="O34" s="9"/>
      <c r="P34" s="9" t="s">
        <v>317</v>
      </c>
      <c r="Q34" s="9" t="s">
        <v>318</v>
      </c>
      <c r="R34" s="17" t="str">
        <f>IFERROR(INDEX('Ground Truth'!$G$2:$G$105,MATCH(A34,'Ground Truth'!$A$2:$A$105,0)),"")</f>
        <v>NO</v>
      </c>
      <c r="S34" s="17" t="str">
        <f>IFERROR(INDEX('Ground Truth'!$H$2:$H$105,MATCH(A34,'Ground Truth'!$A$2:$A$105,0)),"")</f>
        <v>insufficient_data</v>
      </c>
      <c r="T34" s="17">
        <f t="shared" ref="T34:T65" si="4">IF(S34="","",--(S34=H34))</f>
        <v>1</v>
      </c>
      <c r="U34" s="9" t="str">
        <f t="shared" ref="U34:U65" si="5">IF(R34="","","Compared with user-reviewed Ground Truth")</f>
        <v>Compared with user-reviewed Ground Truth</v>
      </c>
      <c r="V34" s="17">
        <f t="shared" ref="V34:V65" si="6">IF(R34="","",--(R34=G34))</f>
        <v>1</v>
      </c>
      <c r="W34" s="17" t="str">
        <f t="shared" ref="W34:W65" si="7">IF(R34="","",IF(AND(R34="YES",G34="YES"),"TP",IF(AND(R34="NO",G34="NO"),"TN",IF(AND(R34="NO",G34="YES"),"FP",IF(AND(R34="YES",G34="NO"),"FN","CHECK")))))</f>
        <v>TN</v>
      </c>
    </row>
    <row r="35" spans="1:23" ht="28.8" customHeight="1" x14ac:dyDescent="0.3">
      <c r="A35" s="9" t="s">
        <v>158</v>
      </c>
      <c r="B35" s="9" t="s">
        <v>9</v>
      </c>
      <c r="C35" s="9" t="s">
        <v>310</v>
      </c>
      <c r="D35" s="9" t="s">
        <v>311</v>
      </c>
      <c r="E35" s="9" t="s">
        <v>159</v>
      </c>
      <c r="F35" s="9" t="s">
        <v>160</v>
      </c>
      <c r="G35" s="9" t="s">
        <v>14</v>
      </c>
      <c r="H35" s="9" t="s">
        <v>15</v>
      </c>
      <c r="I35" s="9"/>
      <c r="J35" s="9" t="s">
        <v>312</v>
      </c>
      <c r="K35" s="9" t="s">
        <v>312</v>
      </c>
      <c r="L35" s="9" t="s">
        <v>312</v>
      </c>
      <c r="M35" s="9" t="s">
        <v>312</v>
      </c>
      <c r="N35" s="9"/>
      <c r="O35" s="9"/>
      <c r="P35" s="9" t="s">
        <v>313</v>
      </c>
      <c r="Q35" s="9" t="s">
        <v>456</v>
      </c>
      <c r="R35" s="17" t="str">
        <f>IFERROR(INDEX('Ground Truth'!$G$2:$G$105,MATCH(A35,'Ground Truth'!$A$2:$A$105,0)),"")</f>
        <v>YES</v>
      </c>
      <c r="S35" s="17" t="str">
        <f>IFERROR(INDEX('Ground Truth'!$H$2:$H$105,MATCH(A35,'Ground Truth'!$A$2:$A$105,0)),"")</f>
        <v>executable</v>
      </c>
      <c r="T35" s="17">
        <f t="shared" si="4"/>
        <v>1</v>
      </c>
      <c r="U35" s="9" t="str">
        <f t="shared" si="5"/>
        <v>Compared with user-reviewed Ground Truth</v>
      </c>
      <c r="V35" s="17">
        <f t="shared" si="6"/>
        <v>1</v>
      </c>
      <c r="W35" s="17" t="str">
        <f t="shared" si="7"/>
        <v>TP</v>
      </c>
    </row>
    <row r="36" spans="1:23" ht="28.8" customHeight="1" x14ac:dyDescent="0.3">
      <c r="A36" s="9" t="s">
        <v>163</v>
      </c>
      <c r="B36" s="9" t="s">
        <v>9</v>
      </c>
      <c r="C36" s="9" t="s">
        <v>310</v>
      </c>
      <c r="D36" s="9" t="s">
        <v>311</v>
      </c>
      <c r="E36" s="9" t="s">
        <v>164</v>
      </c>
      <c r="F36" s="9" t="s">
        <v>165</v>
      </c>
      <c r="G36" s="9" t="s">
        <v>14</v>
      </c>
      <c r="H36" s="9" t="s">
        <v>15</v>
      </c>
      <c r="I36" s="9"/>
      <c r="J36" s="9" t="s">
        <v>312</v>
      </c>
      <c r="K36" s="9" t="s">
        <v>312</v>
      </c>
      <c r="L36" s="9" t="s">
        <v>312</v>
      </c>
      <c r="M36" s="9" t="s">
        <v>312</v>
      </c>
      <c r="N36" s="9"/>
      <c r="O36" s="9"/>
      <c r="P36" s="9" t="s">
        <v>313</v>
      </c>
      <c r="Q36" s="9" t="s">
        <v>456</v>
      </c>
      <c r="R36" s="17" t="str">
        <f>IFERROR(INDEX('Ground Truth'!$G$2:$G$105,MATCH(A36,'Ground Truth'!$A$2:$A$105,0)),"")</f>
        <v>YES</v>
      </c>
      <c r="S36" s="17" t="str">
        <f>IFERROR(INDEX('Ground Truth'!$H$2:$H$105,MATCH(A36,'Ground Truth'!$A$2:$A$105,0)),"")</f>
        <v>executable</v>
      </c>
      <c r="T36" s="17">
        <f t="shared" si="4"/>
        <v>1</v>
      </c>
      <c r="U36" s="9" t="str">
        <f t="shared" si="5"/>
        <v>Compared with user-reviewed Ground Truth</v>
      </c>
      <c r="V36" s="17">
        <f t="shared" si="6"/>
        <v>1</v>
      </c>
      <c r="W36" s="17" t="str">
        <f t="shared" si="7"/>
        <v>TP</v>
      </c>
    </row>
    <row r="37" spans="1:23" ht="28.8" customHeight="1" x14ac:dyDescent="0.3">
      <c r="A37" s="9" t="s">
        <v>167</v>
      </c>
      <c r="B37" s="9" t="s">
        <v>9</v>
      </c>
      <c r="C37" s="9" t="s">
        <v>310</v>
      </c>
      <c r="D37" s="9" t="s">
        <v>311</v>
      </c>
      <c r="E37" s="9" t="s">
        <v>168</v>
      </c>
      <c r="F37" s="9" t="s">
        <v>169</v>
      </c>
      <c r="G37" s="9" t="s">
        <v>26</v>
      </c>
      <c r="H37" s="9" t="s">
        <v>27</v>
      </c>
      <c r="I37" s="9" t="s">
        <v>314</v>
      </c>
      <c r="J37" s="9" t="s">
        <v>312</v>
      </c>
      <c r="K37" s="9" t="s">
        <v>315</v>
      </c>
      <c r="L37" s="9" t="s">
        <v>312</v>
      </c>
      <c r="M37" s="9" t="s">
        <v>315</v>
      </c>
      <c r="N37" s="9" t="s">
        <v>323</v>
      </c>
      <c r="O37" s="9"/>
      <c r="P37" s="9" t="s">
        <v>317</v>
      </c>
      <c r="Q37" s="9" t="s">
        <v>318</v>
      </c>
      <c r="R37" s="17" t="str">
        <f>IFERROR(INDEX('Ground Truth'!$G$2:$G$105,MATCH(A37,'Ground Truth'!$A$2:$A$105,0)),"")</f>
        <v>NO</v>
      </c>
      <c r="S37" s="17" t="str">
        <f>IFERROR(INDEX('Ground Truth'!$H$2:$H$105,MATCH(A37,'Ground Truth'!$A$2:$A$105,0)),"")</f>
        <v>insufficient_data</v>
      </c>
      <c r="T37" s="17">
        <f t="shared" si="4"/>
        <v>1</v>
      </c>
      <c r="U37" s="9" t="str">
        <f t="shared" si="5"/>
        <v>Compared with user-reviewed Ground Truth</v>
      </c>
      <c r="V37" s="17">
        <f t="shared" si="6"/>
        <v>1</v>
      </c>
      <c r="W37" s="17" t="str">
        <f t="shared" si="7"/>
        <v>TN</v>
      </c>
    </row>
    <row r="38" spans="1:23" ht="28.8" customHeight="1" x14ac:dyDescent="0.3">
      <c r="A38" s="9" t="s">
        <v>171</v>
      </c>
      <c r="B38" s="9" t="s">
        <v>9</v>
      </c>
      <c r="C38" s="9" t="s">
        <v>310</v>
      </c>
      <c r="D38" s="9" t="s">
        <v>311</v>
      </c>
      <c r="E38" s="9" t="s">
        <v>172</v>
      </c>
      <c r="F38" s="9" t="s">
        <v>173</v>
      </c>
      <c r="G38" s="9" t="s">
        <v>26</v>
      </c>
      <c r="H38" s="9" t="s">
        <v>27</v>
      </c>
      <c r="I38" s="9" t="s">
        <v>314</v>
      </c>
      <c r="J38" s="9" t="s">
        <v>312</v>
      </c>
      <c r="K38" s="9" t="s">
        <v>315</v>
      </c>
      <c r="L38" s="9" t="s">
        <v>312</v>
      </c>
      <c r="M38" s="9" t="s">
        <v>315</v>
      </c>
      <c r="N38" s="9" t="s">
        <v>316</v>
      </c>
      <c r="O38" s="9"/>
      <c r="P38" s="9" t="s">
        <v>317</v>
      </c>
      <c r="Q38" s="9" t="s">
        <v>318</v>
      </c>
      <c r="R38" s="17" t="str">
        <f>IFERROR(INDEX('Ground Truth'!$G$2:$G$105,MATCH(A38,'Ground Truth'!$A$2:$A$105,0)),"")</f>
        <v>NO</v>
      </c>
      <c r="S38" s="17" t="str">
        <f>IFERROR(INDEX('Ground Truth'!$H$2:$H$105,MATCH(A38,'Ground Truth'!$A$2:$A$105,0)),"")</f>
        <v>insufficient_data</v>
      </c>
      <c r="T38" s="17">
        <f t="shared" si="4"/>
        <v>1</v>
      </c>
      <c r="U38" s="9" t="str">
        <f t="shared" si="5"/>
        <v>Compared with user-reviewed Ground Truth</v>
      </c>
      <c r="V38" s="17">
        <f t="shared" si="6"/>
        <v>1</v>
      </c>
      <c r="W38" s="17" t="str">
        <f t="shared" si="7"/>
        <v>TN</v>
      </c>
    </row>
    <row r="39" spans="1:23" ht="28.8" customHeight="1" x14ac:dyDescent="0.3">
      <c r="A39" s="9" t="s">
        <v>175</v>
      </c>
      <c r="B39" s="9" t="s">
        <v>9</v>
      </c>
      <c r="C39" s="9" t="s">
        <v>310</v>
      </c>
      <c r="D39" s="9" t="s">
        <v>311</v>
      </c>
      <c r="E39" s="9" t="s">
        <v>176</v>
      </c>
      <c r="F39" s="9" t="s">
        <v>327</v>
      </c>
      <c r="G39" s="9" t="s">
        <v>26</v>
      </c>
      <c r="H39" s="9" t="s">
        <v>27</v>
      </c>
      <c r="I39" s="9" t="s">
        <v>326</v>
      </c>
      <c r="J39" s="9" t="s">
        <v>312</v>
      </c>
      <c r="K39" s="9" t="s">
        <v>315</v>
      </c>
      <c r="L39" s="9" t="s">
        <v>312</v>
      </c>
      <c r="M39" s="9" t="s">
        <v>315</v>
      </c>
      <c r="N39" s="9" t="s">
        <v>316</v>
      </c>
      <c r="O39" s="9"/>
      <c r="P39" s="9" t="s">
        <v>317</v>
      </c>
      <c r="Q39" s="9" t="s">
        <v>318</v>
      </c>
      <c r="R39" s="17" t="str">
        <f>IFERROR(INDEX('Ground Truth'!$G$2:$G$105,MATCH(A39,'Ground Truth'!$A$2:$A$105,0)),"")</f>
        <v>NO</v>
      </c>
      <c r="S39" s="17" t="str">
        <f>IFERROR(INDEX('Ground Truth'!$H$2:$H$105,MATCH(A39,'Ground Truth'!$A$2:$A$105,0)),"")</f>
        <v>insufficient_data</v>
      </c>
      <c r="T39" s="17">
        <f t="shared" si="4"/>
        <v>1</v>
      </c>
      <c r="U39" s="9" t="str">
        <f t="shared" si="5"/>
        <v>Compared with user-reviewed Ground Truth</v>
      </c>
      <c r="V39" s="17">
        <f t="shared" si="6"/>
        <v>1</v>
      </c>
      <c r="W39" s="17" t="str">
        <f t="shared" si="7"/>
        <v>TN</v>
      </c>
    </row>
    <row r="40" spans="1:23" ht="28.8" customHeight="1" x14ac:dyDescent="0.3">
      <c r="A40" s="9" t="s">
        <v>179</v>
      </c>
      <c r="B40" s="9" t="s">
        <v>9</v>
      </c>
      <c r="C40" s="9" t="s">
        <v>310</v>
      </c>
      <c r="D40" s="9" t="s">
        <v>311</v>
      </c>
      <c r="E40" s="9" t="s">
        <v>180</v>
      </c>
      <c r="F40" s="9" t="s">
        <v>181</v>
      </c>
      <c r="G40" s="9" t="s">
        <v>14</v>
      </c>
      <c r="H40" s="9" t="s">
        <v>15</v>
      </c>
      <c r="I40" s="9"/>
      <c r="J40" s="9" t="s">
        <v>312</v>
      </c>
      <c r="K40" s="9" t="s">
        <v>312</v>
      </c>
      <c r="L40" s="9" t="s">
        <v>312</v>
      </c>
      <c r="M40" s="9" t="s">
        <v>312</v>
      </c>
      <c r="N40" s="9"/>
      <c r="O40" s="9"/>
      <c r="P40" s="9" t="s">
        <v>313</v>
      </c>
      <c r="Q40" s="9" t="s">
        <v>456</v>
      </c>
      <c r="R40" s="17" t="str">
        <f>IFERROR(INDEX('Ground Truth'!$G$2:$G$105,MATCH(A40,'Ground Truth'!$A$2:$A$105,0)),"")</f>
        <v>YES</v>
      </c>
      <c r="S40" s="17" t="str">
        <f>IFERROR(INDEX('Ground Truth'!$H$2:$H$105,MATCH(A40,'Ground Truth'!$A$2:$A$105,0)),"")</f>
        <v>executable</v>
      </c>
      <c r="T40" s="17">
        <f t="shared" si="4"/>
        <v>1</v>
      </c>
      <c r="U40" s="9" t="str">
        <f t="shared" si="5"/>
        <v>Compared with user-reviewed Ground Truth</v>
      </c>
      <c r="V40" s="17">
        <f t="shared" si="6"/>
        <v>1</v>
      </c>
      <c r="W40" s="17" t="str">
        <f t="shared" si="7"/>
        <v>TP</v>
      </c>
    </row>
    <row r="41" spans="1:23" ht="28.8" customHeight="1" x14ac:dyDescent="0.3">
      <c r="A41" s="9" t="s">
        <v>183</v>
      </c>
      <c r="B41" s="9" t="s">
        <v>9</v>
      </c>
      <c r="C41" s="9" t="s">
        <v>310</v>
      </c>
      <c r="D41" s="9" t="s">
        <v>311</v>
      </c>
      <c r="E41" s="9" t="s">
        <v>184</v>
      </c>
      <c r="F41" s="9" t="s">
        <v>185</v>
      </c>
      <c r="G41" s="9" t="s">
        <v>14</v>
      </c>
      <c r="H41" s="9" t="s">
        <v>15</v>
      </c>
      <c r="I41" s="9"/>
      <c r="J41" s="9" t="s">
        <v>312</v>
      </c>
      <c r="K41" s="9" t="s">
        <v>312</v>
      </c>
      <c r="L41" s="9" t="s">
        <v>312</v>
      </c>
      <c r="M41" s="9" t="s">
        <v>312</v>
      </c>
      <c r="N41" s="9"/>
      <c r="O41" s="9"/>
      <c r="P41" s="9" t="s">
        <v>313</v>
      </c>
      <c r="Q41" s="9" t="s">
        <v>456</v>
      </c>
      <c r="R41" s="17" t="str">
        <f>IFERROR(INDEX('Ground Truth'!$G$2:$G$105,MATCH(A41,'Ground Truth'!$A$2:$A$105,0)),"")</f>
        <v>YES</v>
      </c>
      <c r="S41" s="17" t="str">
        <f>IFERROR(INDEX('Ground Truth'!$H$2:$H$105,MATCH(A41,'Ground Truth'!$A$2:$A$105,0)),"")</f>
        <v>executable</v>
      </c>
      <c r="T41" s="17">
        <f t="shared" si="4"/>
        <v>1</v>
      </c>
      <c r="U41" s="9" t="str">
        <f t="shared" si="5"/>
        <v>Compared with user-reviewed Ground Truth</v>
      </c>
      <c r="V41" s="17">
        <f t="shared" si="6"/>
        <v>1</v>
      </c>
      <c r="W41" s="17" t="str">
        <f t="shared" si="7"/>
        <v>TP</v>
      </c>
    </row>
    <row r="42" spans="1:23" ht="28.8" customHeight="1" x14ac:dyDescent="0.3">
      <c r="A42" s="9" t="s">
        <v>187</v>
      </c>
      <c r="B42" s="9" t="s">
        <v>9</v>
      </c>
      <c r="C42" s="9" t="s">
        <v>310</v>
      </c>
      <c r="D42" s="9" t="s">
        <v>311</v>
      </c>
      <c r="E42" s="9" t="s">
        <v>188</v>
      </c>
      <c r="F42" s="9" t="s">
        <v>189</v>
      </c>
      <c r="G42" s="9" t="s">
        <v>26</v>
      </c>
      <c r="H42" s="9" t="s">
        <v>64</v>
      </c>
      <c r="I42" s="9" t="s">
        <v>321</v>
      </c>
      <c r="J42" s="9" t="s">
        <v>312</v>
      </c>
      <c r="K42" s="9" t="s">
        <v>315</v>
      </c>
      <c r="L42" s="9" t="s">
        <v>312</v>
      </c>
      <c r="M42" s="9" t="s">
        <v>312</v>
      </c>
      <c r="N42" s="9" t="s">
        <v>322</v>
      </c>
      <c r="O42" s="9"/>
      <c r="P42" s="9" t="s">
        <v>313</v>
      </c>
      <c r="Q42" s="9" t="s">
        <v>456</v>
      </c>
      <c r="R42" s="17" t="str">
        <f>IFERROR(INDEX('Ground Truth'!$G$2:$G$105,MATCH(A42,'Ground Truth'!$A$2:$A$105,0)),"")</f>
        <v>NO</v>
      </c>
      <c r="S42" s="17" t="str">
        <f>IFERROR(INDEX('Ground Truth'!$H$2:$H$105,MATCH(A42,'Ground Truth'!$A$2:$A$105,0)),"")</f>
        <v>partial</v>
      </c>
      <c r="T42" s="17">
        <f t="shared" si="4"/>
        <v>1</v>
      </c>
      <c r="U42" s="9" t="str">
        <f t="shared" si="5"/>
        <v>Compared with user-reviewed Ground Truth</v>
      </c>
      <c r="V42" s="17">
        <f t="shared" si="6"/>
        <v>1</v>
      </c>
      <c r="W42" s="17" t="str">
        <f t="shared" si="7"/>
        <v>TN</v>
      </c>
    </row>
    <row r="43" spans="1:23" ht="28.8" customHeight="1" x14ac:dyDescent="0.3">
      <c r="A43" s="9" t="s">
        <v>192</v>
      </c>
      <c r="B43" s="9" t="s">
        <v>9</v>
      </c>
      <c r="C43" s="9" t="s">
        <v>310</v>
      </c>
      <c r="D43" s="9" t="s">
        <v>311</v>
      </c>
      <c r="E43" s="9" t="s">
        <v>193</v>
      </c>
      <c r="F43" s="9" t="s">
        <v>194</v>
      </c>
      <c r="G43" s="9" t="s">
        <v>26</v>
      </c>
      <c r="H43" s="9" t="s">
        <v>27</v>
      </c>
      <c r="I43" s="9" t="s">
        <v>314</v>
      </c>
      <c r="J43" s="9" t="s">
        <v>312</v>
      </c>
      <c r="K43" s="9" t="s">
        <v>315</v>
      </c>
      <c r="L43" s="9" t="s">
        <v>312</v>
      </c>
      <c r="M43" s="9" t="s">
        <v>315</v>
      </c>
      <c r="N43" s="9" t="s">
        <v>323</v>
      </c>
      <c r="O43" s="9"/>
      <c r="P43" s="9" t="s">
        <v>317</v>
      </c>
      <c r="Q43" s="9" t="s">
        <v>318</v>
      </c>
      <c r="R43" s="17" t="str">
        <f>IFERROR(INDEX('Ground Truth'!$G$2:$G$105,MATCH(A43,'Ground Truth'!$A$2:$A$105,0)),"")</f>
        <v>NO</v>
      </c>
      <c r="S43" s="17" t="str">
        <f>IFERROR(INDEX('Ground Truth'!$H$2:$H$105,MATCH(A43,'Ground Truth'!$A$2:$A$105,0)),"")</f>
        <v>insufficient_data</v>
      </c>
      <c r="T43" s="17">
        <f t="shared" si="4"/>
        <v>1</v>
      </c>
      <c r="U43" s="9" t="str">
        <f t="shared" si="5"/>
        <v>Compared with user-reviewed Ground Truth</v>
      </c>
      <c r="V43" s="17">
        <f t="shared" si="6"/>
        <v>1</v>
      </c>
      <c r="W43" s="17" t="str">
        <f t="shared" si="7"/>
        <v>TN</v>
      </c>
    </row>
    <row r="44" spans="1:23" ht="28.8" customHeight="1" x14ac:dyDescent="0.3">
      <c r="A44" s="9" t="s">
        <v>197</v>
      </c>
      <c r="B44" s="9" t="s">
        <v>9</v>
      </c>
      <c r="C44" s="9" t="s">
        <v>310</v>
      </c>
      <c r="D44" s="9" t="s">
        <v>311</v>
      </c>
      <c r="E44" s="9" t="s">
        <v>198</v>
      </c>
      <c r="F44" s="9" t="s">
        <v>199</v>
      </c>
      <c r="G44" s="9" t="s">
        <v>26</v>
      </c>
      <c r="H44" s="9" t="s">
        <v>27</v>
      </c>
      <c r="I44" s="9" t="s">
        <v>314</v>
      </c>
      <c r="J44" s="9" t="s">
        <v>312</v>
      </c>
      <c r="K44" s="9" t="s">
        <v>315</v>
      </c>
      <c r="L44" s="9" t="s">
        <v>312</v>
      </c>
      <c r="M44" s="9" t="s">
        <v>315</v>
      </c>
      <c r="N44" s="9" t="s">
        <v>316</v>
      </c>
      <c r="O44" s="9"/>
      <c r="P44" s="9" t="s">
        <v>317</v>
      </c>
      <c r="Q44" s="9" t="s">
        <v>318</v>
      </c>
      <c r="R44" s="17" t="str">
        <f>IFERROR(INDEX('Ground Truth'!$G$2:$G$105,MATCH(A44,'Ground Truth'!$A$2:$A$105,0)),"")</f>
        <v>NO</v>
      </c>
      <c r="S44" s="17" t="str">
        <f>IFERROR(INDEX('Ground Truth'!$H$2:$H$105,MATCH(A44,'Ground Truth'!$A$2:$A$105,0)),"")</f>
        <v>insufficient_data</v>
      </c>
      <c r="T44" s="17">
        <f t="shared" si="4"/>
        <v>1</v>
      </c>
      <c r="U44" s="9" t="str">
        <f t="shared" si="5"/>
        <v>Compared with user-reviewed Ground Truth</v>
      </c>
      <c r="V44" s="17">
        <f t="shared" si="6"/>
        <v>1</v>
      </c>
      <c r="W44" s="17" t="str">
        <f t="shared" si="7"/>
        <v>TN</v>
      </c>
    </row>
    <row r="45" spans="1:23" ht="28.8" customHeight="1" x14ac:dyDescent="0.3">
      <c r="A45" s="9" t="s">
        <v>202</v>
      </c>
      <c r="B45" s="9" t="s">
        <v>9</v>
      </c>
      <c r="C45" s="9" t="s">
        <v>310</v>
      </c>
      <c r="D45" s="9" t="s">
        <v>311</v>
      </c>
      <c r="E45" s="9" t="s">
        <v>203</v>
      </c>
      <c r="F45" s="9" t="s">
        <v>204</v>
      </c>
      <c r="G45" s="9" t="s">
        <v>26</v>
      </c>
      <c r="H45" s="9" t="s">
        <v>27</v>
      </c>
      <c r="I45" s="9" t="s">
        <v>326</v>
      </c>
      <c r="J45" s="9" t="s">
        <v>312</v>
      </c>
      <c r="K45" s="9" t="s">
        <v>315</v>
      </c>
      <c r="L45" s="9" t="s">
        <v>312</v>
      </c>
      <c r="M45" s="9" t="s">
        <v>315</v>
      </c>
      <c r="N45" s="9" t="s">
        <v>316</v>
      </c>
      <c r="O45" s="9"/>
      <c r="P45" s="9" t="s">
        <v>317</v>
      </c>
      <c r="Q45" s="9" t="s">
        <v>318</v>
      </c>
      <c r="R45" s="17" t="str">
        <f>IFERROR(INDEX('Ground Truth'!$G$2:$G$105,MATCH(A45,'Ground Truth'!$A$2:$A$105,0)),"")</f>
        <v>NO</v>
      </c>
      <c r="S45" s="17" t="str">
        <f>IFERROR(INDEX('Ground Truth'!$H$2:$H$105,MATCH(A45,'Ground Truth'!$A$2:$A$105,0)),"")</f>
        <v>insufficient_data</v>
      </c>
      <c r="T45" s="17">
        <f t="shared" si="4"/>
        <v>1</v>
      </c>
      <c r="U45" s="9" t="str">
        <f t="shared" si="5"/>
        <v>Compared with user-reviewed Ground Truth</v>
      </c>
      <c r="V45" s="17">
        <f t="shared" si="6"/>
        <v>1</v>
      </c>
      <c r="W45" s="17" t="str">
        <f t="shared" si="7"/>
        <v>TN</v>
      </c>
    </row>
    <row r="46" spans="1:23" ht="28.8" customHeight="1" x14ac:dyDescent="0.3">
      <c r="A46" s="9" t="s">
        <v>207</v>
      </c>
      <c r="B46" s="9" t="s">
        <v>9</v>
      </c>
      <c r="C46" s="9" t="s">
        <v>310</v>
      </c>
      <c r="D46" s="9" t="s">
        <v>311</v>
      </c>
      <c r="E46" s="9" t="s">
        <v>208</v>
      </c>
      <c r="F46" s="9" t="s">
        <v>209</v>
      </c>
      <c r="G46" s="9" t="s">
        <v>26</v>
      </c>
      <c r="H46" s="9" t="s">
        <v>64</v>
      </c>
      <c r="I46" s="9" t="s">
        <v>328</v>
      </c>
      <c r="J46" s="9" t="s">
        <v>312</v>
      </c>
      <c r="K46" s="9" t="s">
        <v>315</v>
      </c>
      <c r="L46" s="9" t="s">
        <v>312</v>
      </c>
      <c r="M46" s="9" t="s">
        <v>312</v>
      </c>
      <c r="N46" s="9" t="s">
        <v>329</v>
      </c>
      <c r="O46" s="9"/>
      <c r="P46" s="9" t="s">
        <v>313</v>
      </c>
      <c r="Q46" s="9" t="s">
        <v>456</v>
      </c>
      <c r="R46" s="17" t="str">
        <f>IFERROR(INDEX('Ground Truth'!$G$2:$G$105,MATCH(A46,'Ground Truth'!$A$2:$A$105,0)),"")</f>
        <v>NO</v>
      </c>
      <c r="S46" s="17" t="str">
        <f>IFERROR(INDEX('Ground Truth'!$H$2:$H$105,MATCH(A46,'Ground Truth'!$A$2:$A$105,0)),"")</f>
        <v>partial</v>
      </c>
      <c r="T46" s="17">
        <f t="shared" si="4"/>
        <v>1</v>
      </c>
      <c r="U46" s="9" t="str">
        <f t="shared" si="5"/>
        <v>Compared with user-reviewed Ground Truth</v>
      </c>
      <c r="V46" s="17">
        <f t="shared" si="6"/>
        <v>1</v>
      </c>
      <c r="W46" s="17" t="str">
        <f t="shared" si="7"/>
        <v>TN</v>
      </c>
    </row>
    <row r="47" spans="1:23" ht="28.8" customHeight="1" x14ac:dyDescent="0.3">
      <c r="A47" s="9" t="s">
        <v>212</v>
      </c>
      <c r="B47" s="9" t="s">
        <v>9</v>
      </c>
      <c r="C47" s="9" t="s">
        <v>310</v>
      </c>
      <c r="D47" s="9" t="s">
        <v>311</v>
      </c>
      <c r="E47" s="9" t="s">
        <v>213</v>
      </c>
      <c r="F47" s="9" t="s">
        <v>214</v>
      </c>
      <c r="G47" s="9" t="s">
        <v>26</v>
      </c>
      <c r="H47" s="9" t="s">
        <v>27</v>
      </c>
      <c r="I47" s="9" t="s">
        <v>314</v>
      </c>
      <c r="J47" s="9" t="s">
        <v>312</v>
      </c>
      <c r="K47" s="9" t="s">
        <v>315</v>
      </c>
      <c r="L47" s="9" t="s">
        <v>312</v>
      </c>
      <c r="M47" s="9" t="s">
        <v>315</v>
      </c>
      <c r="N47" s="9" t="s">
        <v>319</v>
      </c>
      <c r="O47" s="9"/>
      <c r="P47" s="9" t="s">
        <v>317</v>
      </c>
      <c r="Q47" s="9" t="s">
        <v>318</v>
      </c>
      <c r="R47" s="17" t="str">
        <f>IFERROR(INDEX('Ground Truth'!$G$2:$G$105,MATCH(A47,'Ground Truth'!$A$2:$A$105,0)),"")</f>
        <v>NO</v>
      </c>
      <c r="S47" s="17" t="str">
        <f>IFERROR(INDEX('Ground Truth'!$H$2:$H$105,MATCH(A47,'Ground Truth'!$A$2:$A$105,0)),"")</f>
        <v>insufficient_data</v>
      </c>
      <c r="T47" s="17">
        <f t="shared" si="4"/>
        <v>1</v>
      </c>
      <c r="U47" s="9" t="str">
        <f t="shared" si="5"/>
        <v>Compared with user-reviewed Ground Truth</v>
      </c>
      <c r="V47" s="17">
        <f t="shared" si="6"/>
        <v>1</v>
      </c>
      <c r="W47" s="17" t="str">
        <f t="shared" si="7"/>
        <v>TN</v>
      </c>
    </row>
    <row r="48" spans="1:23" ht="28.8" customHeight="1" x14ac:dyDescent="0.3">
      <c r="A48" s="9" t="s">
        <v>216</v>
      </c>
      <c r="B48" s="9" t="s">
        <v>9</v>
      </c>
      <c r="C48" s="9" t="s">
        <v>310</v>
      </c>
      <c r="D48" s="9" t="s">
        <v>311</v>
      </c>
      <c r="E48" s="9" t="s">
        <v>217</v>
      </c>
      <c r="F48" s="9" t="s">
        <v>218</v>
      </c>
      <c r="G48" s="9" t="s">
        <v>26</v>
      </c>
      <c r="H48" s="9" t="s">
        <v>27</v>
      </c>
      <c r="I48" s="9" t="s">
        <v>314</v>
      </c>
      <c r="J48" s="9" t="s">
        <v>312</v>
      </c>
      <c r="K48" s="9" t="s">
        <v>315</v>
      </c>
      <c r="L48" s="9" t="s">
        <v>312</v>
      </c>
      <c r="M48" s="9" t="s">
        <v>315</v>
      </c>
      <c r="N48" s="9" t="s">
        <v>319</v>
      </c>
      <c r="O48" s="9"/>
      <c r="P48" s="9" t="s">
        <v>317</v>
      </c>
      <c r="Q48" s="9" t="s">
        <v>318</v>
      </c>
      <c r="R48" s="17" t="str">
        <f>IFERROR(INDEX('Ground Truth'!$G$2:$G$105,MATCH(A48,'Ground Truth'!$A$2:$A$105,0)),"")</f>
        <v>NO</v>
      </c>
      <c r="S48" s="17" t="str">
        <f>IFERROR(INDEX('Ground Truth'!$H$2:$H$105,MATCH(A48,'Ground Truth'!$A$2:$A$105,0)),"")</f>
        <v>insufficient_data</v>
      </c>
      <c r="T48" s="17">
        <f t="shared" si="4"/>
        <v>1</v>
      </c>
      <c r="U48" s="9" t="str">
        <f t="shared" si="5"/>
        <v>Compared with user-reviewed Ground Truth</v>
      </c>
      <c r="V48" s="17">
        <f t="shared" si="6"/>
        <v>1</v>
      </c>
      <c r="W48" s="17" t="str">
        <f t="shared" si="7"/>
        <v>TN</v>
      </c>
    </row>
    <row r="49" spans="1:23" ht="28.8" customHeight="1" x14ac:dyDescent="0.3">
      <c r="A49" s="9" t="s">
        <v>220</v>
      </c>
      <c r="B49" s="9" t="s">
        <v>9</v>
      </c>
      <c r="C49" s="9" t="s">
        <v>310</v>
      </c>
      <c r="D49" s="9" t="s">
        <v>311</v>
      </c>
      <c r="E49" s="9" t="s">
        <v>221</v>
      </c>
      <c r="F49" s="9" t="s">
        <v>222</v>
      </c>
      <c r="G49" s="9" t="s">
        <v>14</v>
      </c>
      <c r="H49" s="9" t="s">
        <v>15</v>
      </c>
      <c r="I49" s="9"/>
      <c r="J49" s="9" t="s">
        <v>312</v>
      </c>
      <c r="K49" s="9" t="s">
        <v>312</v>
      </c>
      <c r="L49" s="9" t="s">
        <v>312</v>
      </c>
      <c r="M49" s="9" t="s">
        <v>312</v>
      </c>
      <c r="N49" s="9"/>
      <c r="O49" s="9"/>
      <c r="P49" s="9" t="s">
        <v>313</v>
      </c>
      <c r="Q49" s="9" t="s">
        <v>456</v>
      </c>
      <c r="R49" s="17" t="str">
        <f>IFERROR(INDEX('Ground Truth'!$G$2:$G$105,MATCH(A49,'Ground Truth'!$A$2:$A$105,0)),"")</f>
        <v>YES</v>
      </c>
      <c r="S49" s="17" t="str">
        <f>IFERROR(INDEX('Ground Truth'!$H$2:$H$105,MATCH(A49,'Ground Truth'!$A$2:$A$105,0)),"")</f>
        <v>executable</v>
      </c>
      <c r="T49" s="17">
        <f t="shared" si="4"/>
        <v>1</v>
      </c>
      <c r="U49" s="9" t="str">
        <f t="shared" si="5"/>
        <v>Compared with user-reviewed Ground Truth</v>
      </c>
      <c r="V49" s="17">
        <f t="shared" si="6"/>
        <v>1</v>
      </c>
      <c r="W49" s="17" t="str">
        <f t="shared" si="7"/>
        <v>TP</v>
      </c>
    </row>
    <row r="50" spans="1:23" ht="28.8" customHeight="1" x14ac:dyDescent="0.3">
      <c r="A50" s="9" t="s">
        <v>224</v>
      </c>
      <c r="B50" s="9" t="s">
        <v>9</v>
      </c>
      <c r="C50" s="9" t="s">
        <v>310</v>
      </c>
      <c r="D50" s="9" t="s">
        <v>311</v>
      </c>
      <c r="E50" s="9" t="s">
        <v>225</v>
      </c>
      <c r="F50" s="9" t="s">
        <v>226</v>
      </c>
      <c r="G50" s="9" t="s">
        <v>14</v>
      </c>
      <c r="H50" s="9" t="s">
        <v>15</v>
      </c>
      <c r="I50" s="9"/>
      <c r="J50" s="9" t="s">
        <v>312</v>
      </c>
      <c r="K50" s="9" t="s">
        <v>312</v>
      </c>
      <c r="L50" s="9" t="s">
        <v>312</v>
      </c>
      <c r="M50" s="9" t="s">
        <v>312</v>
      </c>
      <c r="N50" s="9"/>
      <c r="O50" s="9"/>
      <c r="P50" s="9" t="s">
        <v>313</v>
      </c>
      <c r="Q50" s="9" t="s">
        <v>456</v>
      </c>
      <c r="R50" s="17" t="str">
        <f>IFERROR(INDEX('Ground Truth'!$G$2:$G$105,MATCH(A50,'Ground Truth'!$A$2:$A$105,0)),"")</f>
        <v>YES</v>
      </c>
      <c r="S50" s="17" t="str">
        <f>IFERROR(INDEX('Ground Truth'!$H$2:$H$105,MATCH(A50,'Ground Truth'!$A$2:$A$105,0)),"")</f>
        <v>executable</v>
      </c>
      <c r="T50" s="17">
        <f t="shared" si="4"/>
        <v>1</v>
      </c>
      <c r="U50" s="9" t="str">
        <f t="shared" si="5"/>
        <v>Compared with user-reviewed Ground Truth</v>
      </c>
      <c r="V50" s="17">
        <f t="shared" si="6"/>
        <v>1</v>
      </c>
      <c r="W50" s="17" t="str">
        <f t="shared" si="7"/>
        <v>TP</v>
      </c>
    </row>
    <row r="51" spans="1:23" ht="28.8" customHeight="1" x14ac:dyDescent="0.3">
      <c r="A51" s="9" t="s">
        <v>228</v>
      </c>
      <c r="B51" s="9" t="s">
        <v>9</v>
      </c>
      <c r="C51" s="9" t="s">
        <v>310</v>
      </c>
      <c r="D51" s="9" t="s">
        <v>311</v>
      </c>
      <c r="E51" s="9" t="s">
        <v>229</v>
      </c>
      <c r="F51" s="9" t="s">
        <v>230</v>
      </c>
      <c r="G51" s="9" t="s">
        <v>26</v>
      </c>
      <c r="H51" s="9" t="s">
        <v>27</v>
      </c>
      <c r="I51" s="9" t="s">
        <v>320</v>
      </c>
      <c r="J51" s="9" t="s">
        <v>312</v>
      </c>
      <c r="K51" s="9" t="s">
        <v>315</v>
      </c>
      <c r="L51" s="9" t="s">
        <v>312</v>
      </c>
      <c r="M51" s="9" t="s">
        <v>315</v>
      </c>
      <c r="N51" s="9" t="s">
        <v>319</v>
      </c>
      <c r="O51" s="9"/>
      <c r="P51" s="9" t="s">
        <v>317</v>
      </c>
      <c r="Q51" s="9" t="s">
        <v>318</v>
      </c>
      <c r="R51" s="17" t="str">
        <f>IFERROR(INDEX('Ground Truth'!$G$2:$G$105,MATCH(A51,'Ground Truth'!$A$2:$A$105,0)),"")</f>
        <v>NO</v>
      </c>
      <c r="S51" s="17" t="str">
        <f>IFERROR(INDEX('Ground Truth'!$H$2:$H$105,MATCH(A51,'Ground Truth'!$A$2:$A$105,0)),"")</f>
        <v>insufficient_data</v>
      </c>
      <c r="T51" s="17">
        <f t="shared" si="4"/>
        <v>1</v>
      </c>
      <c r="U51" s="9" t="str">
        <f t="shared" si="5"/>
        <v>Compared with user-reviewed Ground Truth</v>
      </c>
      <c r="V51" s="17">
        <f t="shared" si="6"/>
        <v>1</v>
      </c>
      <c r="W51" s="17" t="str">
        <f t="shared" si="7"/>
        <v>TN</v>
      </c>
    </row>
    <row r="52" spans="1:23" ht="28.8" customHeight="1" x14ac:dyDescent="0.3">
      <c r="A52" s="9" t="s">
        <v>232</v>
      </c>
      <c r="B52" s="9" t="s">
        <v>9</v>
      </c>
      <c r="C52" s="9" t="s">
        <v>310</v>
      </c>
      <c r="D52" s="9" t="s">
        <v>311</v>
      </c>
      <c r="E52" s="9" t="s">
        <v>233</v>
      </c>
      <c r="F52" s="9" t="s">
        <v>234</v>
      </c>
      <c r="G52" s="9" t="s">
        <v>26</v>
      </c>
      <c r="H52" s="9" t="s">
        <v>27</v>
      </c>
      <c r="I52" s="9" t="s">
        <v>314</v>
      </c>
      <c r="J52" s="9" t="s">
        <v>312</v>
      </c>
      <c r="K52" s="9" t="s">
        <v>315</v>
      </c>
      <c r="L52" s="9" t="s">
        <v>312</v>
      </c>
      <c r="M52" s="9" t="s">
        <v>315</v>
      </c>
      <c r="N52" s="9" t="s">
        <v>316</v>
      </c>
      <c r="O52" s="9"/>
      <c r="P52" s="9" t="s">
        <v>317</v>
      </c>
      <c r="Q52" s="9" t="s">
        <v>318</v>
      </c>
      <c r="R52" s="17" t="str">
        <f>IFERROR(INDEX('Ground Truth'!$G$2:$G$105,MATCH(A52,'Ground Truth'!$A$2:$A$105,0)),"")</f>
        <v>NO</v>
      </c>
      <c r="S52" s="17" t="str">
        <f>IFERROR(INDEX('Ground Truth'!$H$2:$H$105,MATCH(A52,'Ground Truth'!$A$2:$A$105,0)),"")</f>
        <v>insufficient_data</v>
      </c>
      <c r="T52" s="17">
        <f t="shared" si="4"/>
        <v>1</v>
      </c>
      <c r="U52" s="9" t="str">
        <f t="shared" si="5"/>
        <v>Compared with user-reviewed Ground Truth</v>
      </c>
      <c r="V52" s="17">
        <f t="shared" si="6"/>
        <v>1</v>
      </c>
      <c r="W52" s="17" t="str">
        <f t="shared" si="7"/>
        <v>TN</v>
      </c>
    </row>
    <row r="53" spans="1:23" ht="28.8" customHeight="1" x14ac:dyDescent="0.3">
      <c r="A53" s="9" t="s">
        <v>236</v>
      </c>
      <c r="B53" s="9" t="s">
        <v>9</v>
      </c>
      <c r="C53" s="9" t="s">
        <v>310</v>
      </c>
      <c r="D53" s="9" t="s">
        <v>311</v>
      </c>
      <c r="E53" s="9" t="s">
        <v>237</v>
      </c>
      <c r="F53" s="9" t="s">
        <v>238</v>
      </c>
      <c r="G53" s="9" t="s">
        <v>26</v>
      </c>
      <c r="H53" s="9" t="s">
        <v>27</v>
      </c>
      <c r="I53" s="9" t="s">
        <v>326</v>
      </c>
      <c r="J53" s="9" t="s">
        <v>312</v>
      </c>
      <c r="K53" s="9" t="s">
        <v>315</v>
      </c>
      <c r="L53" s="9" t="s">
        <v>312</v>
      </c>
      <c r="M53" s="9" t="s">
        <v>315</v>
      </c>
      <c r="N53" s="9" t="s">
        <v>316</v>
      </c>
      <c r="O53" s="9"/>
      <c r="P53" s="9" t="s">
        <v>317</v>
      </c>
      <c r="Q53" s="9" t="s">
        <v>318</v>
      </c>
      <c r="R53" s="17" t="str">
        <f>IFERROR(INDEX('Ground Truth'!$G$2:$G$105,MATCH(A53,'Ground Truth'!$A$2:$A$105,0)),"")</f>
        <v>NO</v>
      </c>
      <c r="S53" s="17" t="str">
        <f>IFERROR(INDEX('Ground Truth'!$H$2:$H$105,MATCH(A53,'Ground Truth'!$A$2:$A$105,0)),"")</f>
        <v>insufficient_data</v>
      </c>
      <c r="T53" s="17">
        <f t="shared" si="4"/>
        <v>1</v>
      </c>
      <c r="U53" s="9" t="str">
        <f t="shared" si="5"/>
        <v>Compared with user-reviewed Ground Truth</v>
      </c>
      <c r="V53" s="17">
        <f t="shared" si="6"/>
        <v>1</v>
      </c>
      <c r="W53" s="17" t="str">
        <f t="shared" si="7"/>
        <v>TN</v>
      </c>
    </row>
    <row r="54" spans="1:23" ht="28.8" customHeight="1" x14ac:dyDescent="0.3">
      <c r="A54" s="9" t="s">
        <v>240</v>
      </c>
      <c r="B54" s="9" t="s">
        <v>241</v>
      </c>
      <c r="C54" s="9" t="s">
        <v>330</v>
      </c>
      <c r="D54" s="9" t="s">
        <v>331</v>
      </c>
      <c r="E54" s="9" t="s">
        <v>10</v>
      </c>
      <c r="F54" s="9" t="s">
        <v>11</v>
      </c>
      <c r="G54" s="9" t="s">
        <v>14</v>
      </c>
      <c r="H54" s="9" t="s">
        <v>15</v>
      </c>
      <c r="I54" s="9"/>
      <c r="J54" s="9" t="s">
        <v>312</v>
      </c>
      <c r="K54" s="9" t="s">
        <v>312</v>
      </c>
      <c r="L54" s="9" t="s">
        <v>312</v>
      </c>
      <c r="M54" s="9" t="s">
        <v>312</v>
      </c>
      <c r="N54" s="9"/>
      <c r="O54" s="9"/>
      <c r="P54" s="9" t="s">
        <v>313</v>
      </c>
      <c r="Q54" s="9" t="s">
        <v>457</v>
      </c>
      <c r="R54" s="17" t="str">
        <f>IFERROR(INDEX('Ground Truth'!$G$2:$G$105,MATCH(A54,'Ground Truth'!$A$2:$A$105,0)),"")</f>
        <v>YES</v>
      </c>
      <c r="S54" s="17" t="str">
        <f>IFERROR(INDEX('Ground Truth'!$H$2:$H$105,MATCH(A54,'Ground Truth'!$A$2:$A$105,0)),"")</f>
        <v>executable</v>
      </c>
      <c r="T54" s="17">
        <f t="shared" si="4"/>
        <v>1</v>
      </c>
      <c r="U54" s="9" t="str">
        <f t="shared" si="5"/>
        <v>Compared with user-reviewed Ground Truth</v>
      </c>
      <c r="V54" s="17">
        <f t="shared" si="6"/>
        <v>1</v>
      </c>
      <c r="W54" s="17" t="str">
        <f t="shared" si="7"/>
        <v>TP</v>
      </c>
    </row>
    <row r="55" spans="1:23" ht="28.8" customHeight="1" x14ac:dyDescent="0.3">
      <c r="A55" s="9" t="s">
        <v>242</v>
      </c>
      <c r="B55" s="9" t="s">
        <v>241</v>
      </c>
      <c r="C55" s="9" t="s">
        <v>330</v>
      </c>
      <c r="D55" s="9" t="s">
        <v>331</v>
      </c>
      <c r="E55" s="9" t="s">
        <v>17</v>
      </c>
      <c r="F55" s="9" t="s">
        <v>18</v>
      </c>
      <c r="G55" s="9" t="s">
        <v>14</v>
      </c>
      <c r="H55" s="9" t="s">
        <v>15</v>
      </c>
      <c r="I55" s="9"/>
      <c r="J55" s="9" t="s">
        <v>312</v>
      </c>
      <c r="K55" s="9" t="s">
        <v>312</v>
      </c>
      <c r="L55" s="9" t="s">
        <v>312</v>
      </c>
      <c r="M55" s="9" t="s">
        <v>312</v>
      </c>
      <c r="N55" s="9"/>
      <c r="O55" s="9"/>
      <c r="P55" s="9" t="s">
        <v>313</v>
      </c>
      <c r="Q55" s="9" t="s">
        <v>457</v>
      </c>
      <c r="R55" s="17" t="str">
        <f>IFERROR(INDEX('Ground Truth'!$G$2:$G$105,MATCH(A55,'Ground Truth'!$A$2:$A$105,0)),"")</f>
        <v>YES</v>
      </c>
      <c r="S55" s="17" t="str">
        <f>IFERROR(INDEX('Ground Truth'!$H$2:$H$105,MATCH(A55,'Ground Truth'!$A$2:$A$105,0)),"")</f>
        <v>executable</v>
      </c>
      <c r="T55" s="17">
        <f t="shared" si="4"/>
        <v>1</v>
      </c>
      <c r="U55" s="9" t="str">
        <f t="shared" si="5"/>
        <v>Compared with user-reviewed Ground Truth</v>
      </c>
      <c r="V55" s="17">
        <f t="shared" si="6"/>
        <v>1</v>
      </c>
      <c r="W55" s="17" t="str">
        <f t="shared" si="7"/>
        <v>TP</v>
      </c>
    </row>
    <row r="56" spans="1:23" ht="28.8" customHeight="1" x14ac:dyDescent="0.3">
      <c r="A56" s="9" t="s">
        <v>243</v>
      </c>
      <c r="B56" s="9" t="s">
        <v>241</v>
      </c>
      <c r="C56" s="9" t="s">
        <v>330</v>
      </c>
      <c r="D56" s="9" t="s">
        <v>331</v>
      </c>
      <c r="E56" s="9" t="s">
        <v>22</v>
      </c>
      <c r="F56" s="9" t="s">
        <v>23</v>
      </c>
      <c r="G56" s="9" t="s">
        <v>14</v>
      </c>
      <c r="H56" s="9" t="s">
        <v>15</v>
      </c>
      <c r="I56" s="9"/>
      <c r="J56" s="9" t="s">
        <v>312</v>
      </c>
      <c r="K56" s="9" t="s">
        <v>312</v>
      </c>
      <c r="L56" s="9" t="s">
        <v>312</v>
      </c>
      <c r="M56" s="9" t="s">
        <v>312</v>
      </c>
      <c r="N56" s="9"/>
      <c r="O56" s="9"/>
      <c r="P56" s="9" t="s">
        <v>313</v>
      </c>
      <c r="Q56" s="9" t="s">
        <v>457</v>
      </c>
      <c r="R56" s="17" t="str">
        <f>IFERROR(INDEX('Ground Truth'!$G$2:$G$105,MATCH(A56,'Ground Truth'!$A$2:$A$105,0)),"")</f>
        <v>YES</v>
      </c>
      <c r="S56" s="17" t="str">
        <f>IFERROR(INDEX('Ground Truth'!$H$2:$H$105,MATCH(A56,'Ground Truth'!$A$2:$A$105,0)),"")</f>
        <v>executable</v>
      </c>
      <c r="T56" s="17">
        <f t="shared" si="4"/>
        <v>1</v>
      </c>
      <c r="U56" s="9" t="str">
        <f t="shared" si="5"/>
        <v>Compared with user-reviewed Ground Truth</v>
      </c>
      <c r="V56" s="17">
        <f t="shared" si="6"/>
        <v>1</v>
      </c>
      <c r="W56" s="17" t="str">
        <f t="shared" si="7"/>
        <v>TP</v>
      </c>
    </row>
    <row r="57" spans="1:23" ht="28.8" customHeight="1" x14ac:dyDescent="0.3">
      <c r="A57" s="9" t="s">
        <v>244</v>
      </c>
      <c r="B57" s="9" t="s">
        <v>241</v>
      </c>
      <c r="C57" s="9" t="s">
        <v>330</v>
      </c>
      <c r="D57" s="9" t="s">
        <v>331</v>
      </c>
      <c r="E57" s="9" t="s">
        <v>29</v>
      </c>
      <c r="F57" s="9" t="s">
        <v>30</v>
      </c>
      <c r="G57" s="9" t="s">
        <v>14</v>
      </c>
      <c r="H57" s="9" t="s">
        <v>15</v>
      </c>
      <c r="I57" s="9"/>
      <c r="J57" s="9" t="s">
        <v>312</v>
      </c>
      <c r="K57" s="9" t="s">
        <v>312</v>
      </c>
      <c r="L57" s="9" t="s">
        <v>312</v>
      </c>
      <c r="M57" s="9" t="s">
        <v>312</v>
      </c>
      <c r="N57" s="9"/>
      <c r="O57" s="9"/>
      <c r="P57" s="9" t="s">
        <v>313</v>
      </c>
      <c r="Q57" s="9" t="s">
        <v>457</v>
      </c>
      <c r="R57" s="17" t="str">
        <f>IFERROR(INDEX('Ground Truth'!$G$2:$G$105,MATCH(A57,'Ground Truth'!$A$2:$A$105,0)),"")</f>
        <v>YES</v>
      </c>
      <c r="S57" s="17" t="str">
        <f>IFERROR(INDEX('Ground Truth'!$H$2:$H$105,MATCH(A57,'Ground Truth'!$A$2:$A$105,0)),"")</f>
        <v>executable</v>
      </c>
      <c r="T57" s="17">
        <f t="shared" si="4"/>
        <v>1</v>
      </c>
      <c r="U57" s="9" t="str">
        <f t="shared" si="5"/>
        <v>Compared with user-reviewed Ground Truth</v>
      </c>
      <c r="V57" s="17">
        <f t="shared" si="6"/>
        <v>1</v>
      </c>
      <c r="W57" s="17" t="str">
        <f t="shared" si="7"/>
        <v>TP</v>
      </c>
    </row>
    <row r="58" spans="1:23" ht="28.8" customHeight="1" x14ac:dyDescent="0.3">
      <c r="A58" s="9" t="s">
        <v>245</v>
      </c>
      <c r="B58" s="9" t="s">
        <v>241</v>
      </c>
      <c r="C58" s="9" t="s">
        <v>330</v>
      </c>
      <c r="D58" s="9" t="s">
        <v>331</v>
      </c>
      <c r="E58" s="9" t="s">
        <v>34</v>
      </c>
      <c r="F58" s="9" t="s">
        <v>35</v>
      </c>
      <c r="G58" s="9" t="s">
        <v>14</v>
      </c>
      <c r="H58" s="9" t="s">
        <v>15</v>
      </c>
      <c r="I58" s="9"/>
      <c r="J58" s="9" t="s">
        <v>312</v>
      </c>
      <c r="K58" s="9" t="s">
        <v>312</v>
      </c>
      <c r="L58" s="9" t="s">
        <v>312</v>
      </c>
      <c r="M58" s="9" t="s">
        <v>312</v>
      </c>
      <c r="N58" s="9"/>
      <c r="O58" s="9"/>
      <c r="P58" s="9" t="s">
        <v>313</v>
      </c>
      <c r="Q58" s="9" t="s">
        <v>457</v>
      </c>
      <c r="R58" s="17" t="str">
        <f>IFERROR(INDEX('Ground Truth'!$G$2:$G$105,MATCH(A58,'Ground Truth'!$A$2:$A$105,0)),"")</f>
        <v>YES</v>
      </c>
      <c r="S58" s="17" t="str">
        <f>IFERROR(INDEX('Ground Truth'!$H$2:$H$105,MATCH(A58,'Ground Truth'!$A$2:$A$105,0)),"")</f>
        <v>executable</v>
      </c>
      <c r="T58" s="17">
        <f t="shared" si="4"/>
        <v>1</v>
      </c>
      <c r="U58" s="9" t="str">
        <f t="shared" si="5"/>
        <v>Compared with user-reviewed Ground Truth</v>
      </c>
      <c r="V58" s="17">
        <f t="shared" si="6"/>
        <v>1</v>
      </c>
      <c r="W58" s="17" t="str">
        <f t="shared" si="7"/>
        <v>TP</v>
      </c>
    </row>
    <row r="59" spans="1:23" ht="28.8" customHeight="1" x14ac:dyDescent="0.3">
      <c r="A59" s="9" t="s">
        <v>246</v>
      </c>
      <c r="B59" s="9" t="s">
        <v>241</v>
      </c>
      <c r="C59" s="9" t="s">
        <v>330</v>
      </c>
      <c r="D59" s="9" t="s">
        <v>331</v>
      </c>
      <c r="E59" s="9" t="s">
        <v>38</v>
      </c>
      <c r="F59" s="9" t="s">
        <v>39</v>
      </c>
      <c r="G59" s="9" t="s">
        <v>14</v>
      </c>
      <c r="H59" s="9" t="s">
        <v>15</v>
      </c>
      <c r="I59" s="9"/>
      <c r="J59" s="9" t="s">
        <v>312</v>
      </c>
      <c r="K59" s="9" t="s">
        <v>312</v>
      </c>
      <c r="L59" s="9" t="s">
        <v>312</v>
      </c>
      <c r="M59" s="9" t="s">
        <v>312</v>
      </c>
      <c r="N59" s="9"/>
      <c r="O59" s="9"/>
      <c r="P59" s="9" t="s">
        <v>313</v>
      </c>
      <c r="Q59" s="9" t="s">
        <v>457</v>
      </c>
      <c r="R59" s="17" t="str">
        <f>IFERROR(INDEX('Ground Truth'!$G$2:$G$105,MATCH(A59,'Ground Truth'!$A$2:$A$105,0)),"")</f>
        <v>YES</v>
      </c>
      <c r="S59" s="17" t="str">
        <f>IFERROR(INDEX('Ground Truth'!$H$2:$H$105,MATCH(A59,'Ground Truth'!$A$2:$A$105,0)),"")</f>
        <v>executable</v>
      </c>
      <c r="T59" s="17">
        <f t="shared" si="4"/>
        <v>1</v>
      </c>
      <c r="U59" s="9" t="str">
        <f t="shared" si="5"/>
        <v>Compared with user-reviewed Ground Truth</v>
      </c>
      <c r="V59" s="17">
        <f t="shared" si="6"/>
        <v>1</v>
      </c>
      <c r="W59" s="17" t="str">
        <f t="shared" si="7"/>
        <v>TP</v>
      </c>
    </row>
    <row r="60" spans="1:23" ht="28.8" customHeight="1" x14ac:dyDescent="0.3">
      <c r="A60" s="9" t="s">
        <v>247</v>
      </c>
      <c r="B60" s="9" t="s">
        <v>241</v>
      </c>
      <c r="C60" s="9" t="s">
        <v>330</v>
      </c>
      <c r="D60" s="9" t="s">
        <v>331</v>
      </c>
      <c r="E60" s="9" t="s">
        <v>42</v>
      </c>
      <c r="F60" s="9" t="s">
        <v>43</v>
      </c>
      <c r="G60" s="9" t="s">
        <v>14</v>
      </c>
      <c r="H60" s="9" t="s">
        <v>15</v>
      </c>
      <c r="I60" s="9"/>
      <c r="J60" s="9" t="s">
        <v>312</v>
      </c>
      <c r="K60" s="9" t="s">
        <v>312</v>
      </c>
      <c r="L60" s="9" t="s">
        <v>312</v>
      </c>
      <c r="M60" s="9" t="s">
        <v>312</v>
      </c>
      <c r="N60" s="9"/>
      <c r="O60" s="9"/>
      <c r="P60" s="9" t="s">
        <v>313</v>
      </c>
      <c r="Q60" s="9" t="s">
        <v>457</v>
      </c>
      <c r="R60" s="17" t="str">
        <f>IFERROR(INDEX('Ground Truth'!$G$2:$G$105,MATCH(A60,'Ground Truth'!$A$2:$A$105,0)),"")</f>
        <v>YES</v>
      </c>
      <c r="S60" s="17" t="str">
        <f>IFERROR(INDEX('Ground Truth'!$H$2:$H$105,MATCH(A60,'Ground Truth'!$A$2:$A$105,0)),"")</f>
        <v>executable</v>
      </c>
      <c r="T60" s="17">
        <f t="shared" si="4"/>
        <v>1</v>
      </c>
      <c r="U60" s="9" t="str">
        <f t="shared" si="5"/>
        <v>Compared with user-reviewed Ground Truth</v>
      </c>
      <c r="V60" s="17">
        <f t="shared" si="6"/>
        <v>1</v>
      </c>
      <c r="W60" s="17" t="str">
        <f t="shared" si="7"/>
        <v>TP</v>
      </c>
    </row>
    <row r="61" spans="1:23" ht="28.8" customHeight="1" x14ac:dyDescent="0.3">
      <c r="A61" s="9" t="s">
        <v>248</v>
      </c>
      <c r="B61" s="9" t="s">
        <v>241</v>
      </c>
      <c r="C61" s="9" t="s">
        <v>330</v>
      </c>
      <c r="D61" s="9" t="s">
        <v>331</v>
      </c>
      <c r="E61" s="9" t="s">
        <v>46</v>
      </c>
      <c r="F61" s="9" t="s">
        <v>47</v>
      </c>
      <c r="G61" s="9" t="s">
        <v>14</v>
      </c>
      <c r="H61" s="9" t="s">
        <v>15</v>
      </c>
      <c r="I61" s="9"/>
      <c r="J61" s="9" t="s">
        <v>312</v>
      </c>
      <c r="K61" s="9" t="s">
        <v>312</v>
      </c>
      <c r="L61" s="9" t="s">
        <v>312</v>
      </c>
      <c r="M61" s="9" t="s">
        <v>312</v>
      </c>
      <c r="N61" s="9"/>
      <c r="O61" s="9"/>
      <c r="P61" s="9" t="s">
        <v>313</v>
      </c>
      <c r="Q61" s="9" t="s">
        <v>457</v>
      </c>
      <c r="R61" s="17" t="str">
        <f>IFERROR(INDEX('Ground Truth'!$G$2:$G$105,MATCH(A61,'Ground Truth'!$A$2:$A$105,0)),"")</f>
        <v>YES</v>
      </c>
      <c r="S61" s="17" t="str">
        <f>IFERROR(INDEX('Ground Truth'!$H$2:$H$105,MATCH(A61,'Ground Truth'!$A$2:$A$105,0)),"")</f>
        <v>executable</v>
      </c>
      <c r="T61" s="17">
        <f t="shared" si="4"/>
        <v>1</v>
      </c>
      <c r="U61" s="9" t="str">
        <f t="shared" si="5"/>
        <v>Compared with user-reviewed Ground Truth</v>
      </c>
      <c r="V61" s="17">
        <f t="shared" si="6"/>
        <v>1</v>
      </c>
      <c r="W61" s="17" t="str">
        <f t="shared" si="7"/>
        <v>TP</v>
      </c>
    </row>
    <row r="62" spans="1:23" ht="28.8" customHeight="1" x14ac:dyDescent="0.3">
      <c r="A62" s="9" t="s">
        <v>249</v>
      </c>
      <c r="B62" s="9" t="s">
        <v>241</v>
      </c>
      <c r="C62" s="9" t="s">
        <v>330</v>
      </c>
      <c r="D62" s="9" t="s">
        <v>331</v>
      </c>
      <c r="E62" s="9" t="s">
        <v>51</v>
      </c>
      <c r="F62" s="9" t="s">
        <v>52</v>
      </c>
      <c r="G62" s="9" t="s">
        <v>14</v>
      </c>
      <c r="H62" s="9" t="s">
        <v>15</v>
      </c>
      <c r="I62" s="9"/>
      <c r="J62" s="9" t="s">
        <v>312</v>
      </c>
      <c r="K62" s="9" t="s">
        <v>312</v>
      </c>
      <c r="L62" s="9" t="s">
        <v>312</v>
      </c>
      <c r="M62" s="9" t="s">
        <v>312</v>
      </c>
      <c r="N62" s="9"/>
      <c r="O62" s="9"/>
      <c r="P62" s="9" t="s">
        <v>313</v>
      </c>
      <c r="Q62" s="9" t="s">
        <v>457</v>
      </c>
      <c r="R62" s="17" t="str">
        <f>IFERROR(INDEX('Ground Truth'!$G$2:$G$105,MATCH(A62,'Ground Truth'!$A$2:$A$105,0)),"")</f>
        <v>YES</v>
      </c>
      <c r="S62" s="17" t="str">
        <f>IFERROR(INDEX('Ground Truth'!$H$2:$H$105,MATCH(A62,'Ground Truth'!$A$2:$A$105,0)),"")</f>
        <v>executable</v>
      </c>
      <c r="T62" s="17">
        <f t="shared" si="4"/>
        <v>1</v>
      </c>
      <c r="U62" s="9" t="str">
        <f t="shared" si="5"/>
        <v>Compared with user-reviewed Ground Truth</v>
      </c>
      <c r="V62" s="17">
        <f t="shared" si="6"/>
        <v>1</v>
      </c>
      <c r="W62" s="17" t="str">
        <f t="shared" si="7"/>
        <v>TP</v>
      </c>
    </row>
    <row r="63" spans="1:23" ht="28.8" customHeight="1" x14ac:dyDescent="0.3">
      <c r="A63" s="9" t="s">
        <v>250</v>
      </c>
      <c r="B63" s="9" t="s">
        <v>241</v>
      </c>
      <c r="C63" s="9" t="s">
        <v>330</v>
      </c>
      <c r="D63" s="9" t="s">
        <v>331</v>
      </c>
      <c r="E63" s="9" t="s">
        <v>56</v>
      </c>
      <c r="F63" s="9" t="s">
        <v>57</v>
      </c>
      <c r="G63" s="9" t="s">
        <v>26</v>
      </c>
      <c r="H63" s="9" t="s">
        <v>64</v>
      </c>
      <c r="I63" s="9" t="s">
        <v>332</v>
      </c>
      <c r="J63" s="9" t="s">
        <v>312</v>
      </c>
      <c r="K63" s="9" t="s">
        <v>315</v>
      </c>
      <c r="L63" s="9" t="s">
        <v>312</v>
      </c>
      <c r="M63" s="9" t="s">
        <v>312</v>
      </c>
      <c r="N63" s="9" t="s">
        <v>333</v>
      </c>
      <c r="O63" s="9"/>
      <c r="P63" s="9" t="s">
        <v>313</v>
      </c>
      <c r="Q63" s="9" t="s">
        <v>457</v>
      </c>
      <c r="R63" s="17" t="str">
        <f>IFERROR(INDEX('Ground Truth'!$G$2:$G$105,MATCH(A63,'Ground Truth'!$A$2:$A$105,0)),"")</f>
        <v>NO</v>
      </c>
      <c r="S63" s="17" t="str">
        <f>IFERROR(INDEX('Ground Truth'!$H$2:$H$105,MATCH(A63,'Ground Truth'!$A$2:$A$105,0)),"")</f>
        <v>partial</v>
      </c>
      <c r="T63" s="17">
        <f t="shared" si="4"/>
        <v>1</v>
      </c>
      <c r="U63" s="9" t="str">
        <f t="shared" si="5"/>
        <v>Compared with user-reviewed Ground Truth</v>
      </c>
      <c r="V63" s="17">
        <f t="shared" si="6"/>
        <v>1</v>
      </c>
      <c r="W63" s="17" t="str">
        <f t="shared" si="7"/>
        <v>TN</v>
      </c>
    </row>
    <row r="64" spans="1:23" ht="28.8" customHeight="1" x14ac:dyDescent="0.3">
      <c r="A64" s="9" t="s">
        <v>251</v>
      </c>
      <c r="B64" s="9" t="s">
        <v>241</v>
      </c>
      <c r="C64" s="9" t="s">
        <v>330</v>
      </c>
      <c r="D64" s="9" t="s">
        <v>331</v>
      </c>
      <c r="E64" s="9" t="s">
        <v>60</v>
      </c>
      <c r="F64" s="9" t="s">
        <v>61</v>
      </c>
      <c r="G64" s="9" t="s">
        <v>14</v>
      </c>
      <c r="H64" s="9" t="s">
        <v>15</v>
      </c>
      <c r="I64" s="9"/>
      <c r="J64" s="9" t="s">
        <v>312</v>
      </c>
      <c r="K64" s="9" t="s">
        <v>312</v>
      </c>
      <c r="L64" s="9" t="s">
        <v>312</v>
      </c>
      <c r="M64" s="9" t="s">
        <v>312</v>
      </c>
      <c r="N64" s="9"/>
      <c r="O64" s="9"/>
      <c r="P64" s="9" t="s">
        <v>313</v>
      </c>
      <c r="Q64" s="9" t="s">
        <v>457</v>
      </c>
      <c r="R64" s="17" t="str">
        <f>IFERROR(INDEX('Ground Truth'!$G$2:$G$105,MATCH(A64,'Ground Truth'!$A$2:$A$105,0)),"")</f>
        <v>YES</v>
      </c>
      <c r="S64" s="17" t="str">
        <f>IFERROR(INDEX('Ground Truth'!$H$2:$H$105,MATCH(A64,'Ground Truth'!$A$2:$A$105,0)),"")</f>
        <v>executable</v>
      </c>
      <c r="T64" s="17">
        <f t="shared" si="4"/>
        <v>1</v>
      </c>
      <c r="U64" s="9" t="str">
        <f t="shared" si="5"/>
        <v>Compared with user-reviewed Ground Truth</v>
      </c>
      <c r="V64" s="17">
        <f t="shared" si="6"/>
        <v>1</v>
      </c>
      <c r="W64" s="17" t="str">
        <f t="shared" si="7"/>
        <v>TP</v>
      </c>
    </row>
    <row r="65" spans="1:23" ht="28.8" customHeight="1" x14ac:dyDescent="0.3">
      <c r="A65" s="9" t="s">
        <v>252</v>
      </c>
      <c r="B65" s="9" t="s">
        <v>241</v>
      </c>
      <c r="C65" s="9" t="s">
        <v>330</v>
      </c>
      <c r="D65" s="9" t="s">
        <v>331</v>
      </c>
      <c r="E65" s="9" t="s">
        <v>66</v>
      </c>
      <c r="F65" s="9" t="s">
        <v>67</v>
      </c>
      <c r="G65" s="9" t="s">
        <v>26</v>
      </c>
      <c r="H65" s="9" t="s">
        <v>64</v>
      </c>
      <c r="I65" s="9" t="s">
        <v>334</v>
      </c>
      <c r="J65" s="9" t="s">
        <v>312</v>
      </c>
      <c r="K65" s="9" t="s">
        <v>315</v>
      </c>
      <c r="L65" s="9" t="s">
        <v>312</v>
      </c>
      <c r="M65" s="9" t="s">
        <v>312</v>
      </c>
      <c r="N65" s="9" t="s">
        <v>335</v>
      </c>
      <c r="O65" s="9"/>
      <c r="P65" s="9" t="s">
        <v>313</v>
      </c>
      <c r="Q65" s="9" t="s">
        <v>457</v>
      </c>
      <c r="R65" s="17" t="str">
        <f>IFERROR(INDEX('Ground Truth'!$G$2:$G$105,MATCH(A65,'Ground Truth'!$A$2:$A$105,0)),"")</f>
        <v>NO</v>
      </c>
      <c r="S65" s="17" t="str">
        <f>IFERROR(INDEX('Ground Truth'!$H$2:$H$105,MATCH(A65,'Ground Truth'!$A$2:$A$105,0)),"")</f>
        <v>partial</v>
      </c>
      <c r="T65" s="17">
        <f t="shared" si="4"/>
        <v>1</v>
      </c>
      <c r="U65" s="9" t="str">
        <f t="shared" si="5"/>
        <v>Compared with user-reviewed Ground Truth</v>
      </c>
      <c r="V65" s="17">
        <f t="shared" si="6"/>
        <v>1</v>
      </c>
      <c r="W65" s="17" t="str">
        <f t="shared" si="7"/>
        <v>TN</v>
      </c>
    </row>
    <row r="66" spans="1:23" ht="28.8" customHeight="1" x14ac:dyDescent="0.3">
      <c r="A66" s="9" t="s">
        <v>253</v>
      </c>
      <c r="B66" s="9" t="s">
        <v>241</v>
      </c>
      <c r="C66" s="9" t="s">
        <v>330</v>
      </c>
      <c r="D66" s="9" t="s">
        <v>331</v>
      </c>
      <c r="E66" s="9" t="s">
        <v>71</v>
      </c>
      <c r="F66" s="9" t="s">
        <v>72</v>
      </c>
      <c r="G66" s="9" t="s">
        <v>14</v>
      </c>
      <c r="H66" s="9" t="s">
        <v>15</v>
      </c>
      <c r="I66" s="9"/>
      <c r="J66" s="9" t="s">
        <v>312</v>
      </c>
      <c r="K66" s="9" t="s">
        <v>312</v>
      </c>
      <c r="L66" s="9" t="s">
        <v>312</v>
      </c>
      <c r="M66" s="9" t="s">
        <v>312</v>
      </c>
      <c r="N66" s="9"/>
      <c r="O66" s="9"/>
      <c r="P66" s="9" t="s">
        <v>313</v>
      </c>
      <c r="Q66" s="9" t="s">
        <v>457</v>
      </c>
      <c r="R66" s="17" t="str">
        <f>IFERROR(INDEX('Ground Truth'!$G$2:$G$105,MATCH(A66,'Ground Truth'!$A$2:$A$105,0)),"")</f>
        <v>YES</v>
      </c>
      <c r="S66" s="17" t="str">
        <f>IFERROR(INDEX('Ground Truth'!$H$2:$H$105,MATCH(A66,'Ground Truth'!$A$2:$A$105,0)),"")</f>
        <v>executable</v>
      </c>
      <c r="T66" s="17">
        <f t="shared" ref="T66:T97" si="8">IF(S66="","",--(S66=H66))</f>
        <v>1</v>
      </c>
      <c r="U66" s="9" t="str">
        <f t="shared" ref="U66:U97" si="9">IF(R66="","","Compared with user-reviewed Ground Truth")</f>
        <v>Compared with user-reviewed Ground Truth</v>
      </c>
      <c r="V66" s="17">
        <f t="shared" ref="V66:V97" si="10">IF(R66="","",--(R66=G66))</f>
        <v>1</v>
      </c>
      <c r="W66" s="17" t="str">
        <f t="shared" ref="W66:W97" si="11">IF(R66="","",IF(AND(R66="YES",G66="YES"),"TP",IF(AND(R66="NO",G66="NO"),"TN",IF(AND(R66="NO",G66="YES"),"FP",IF(AND(R66="YES",G66="NO"),"FN","CHECK")))))</f>
        <v>TP</v>
      </c>
    </row>
    <row r="67" spans="1:23" ht="28.8" customHeight="1" x14ac:dyDescent="0.3">
      <c r="A67" s="9" t="s">
        <v>254</v>
      </c>
      <c r="B67" s="9" t="s">
        <v>241</v>
      </c>
      <c r="C67" s="9" t="s">
        <v>330</v>
      </c>
      <c r="D67" s="9" t="s">
        <v>331</v>
      </c>
      <c r="E67" s="9" t="s">
        <v>76</v>
      </c>
      <c r="F67" s="9" t="s">
        <v>77</v>
      </c>
      <c r="G67" s="9" t="s">
        <v>14</v>
      </c>
      <c r="H67" s="9" t="s">
        <v>15</v>
      </c>
      <c r="I67" s="9"/>
      <c r="J67" s="9" t="s">
        <v>312</v>
      </c>
      <c r="K67" s="9" t="s">
        <v>312</v>
      </c>
      <c r="L67" s="9" t="s">
        <v>312</v>
      </c>
      <c r="M67" s="9" t="s">
        <v>312</v>
      </c>
      <c r="N67" s="9"/>
      <c r="O67" s="9"/>
      <c r="P67" s="9" t="s">
        <v>313</v>
      </c>
      <c r="Q67" s="9" t="s">
        <v>457</v>
      </c>
      <c r="R67" s="17" t="str">
        <f>IFERROR(INDEX('Ground Truth'!$G$2:$G$105,MATCH(A67,'Ground Truth'!$A$2:$A$105,0)),"")</f>
        <v>YES</v>
      </c>
      <c r="S67" s="17" t="str">
        <f>IFERROR(INDEX('Ground Truth'!$H$2:$H$105,MATCH(A67,'Ground Truth'!$A$2:$A$105,0)),"")</f>
        <v>executable</v>
      </c>
      <c r="T67" s="17">
        <f t="shared" si="8"/>
        <v>1</v>
      </c>
      <c r="U67" s="9" t="str">
        <f t="shared" si="9"/>
        <v>Compared with user-reviewed Ground Truth</v>
      </c>
      <c r="V67" s="17">
        <f t="shared" si="10"/>
        <v>1</v>
      </c>
      <c r="W67" s="17" t="str">
        <f t="shared" si="11"/>
        <v>TP</v>
      </c>
    </row>
    <row r="68" spans="1:23" ht="28.8" customHeight="1" x14ac:dyDescent="0.3">
      <c r="A68" s="9" t="s">
        <v>255</v>
      </c>
      <c r="B68" s="9" t="s">
        <v>241</v>
      </c>
      <c r="C68" s="9" t="s">
        <v>330</v>
      </c>
      <c r="D68" s="9" t="s">
        <v>331</v>
      </c>
      <c r="E68" s="9" t="s">
        <v>81</v>
      </c>
      <c r="F68" s="9" t="s">
        <v>82</v>
      </c>
      <c r="G68" s="9" t="s">
        <v>14</v>
      </c>
      <c r="H68" s="9" t="s">
        <v>15</v>
      </c>
      <c r="I68" s="9"/>
      <c r="J68" s="9" t="s">
        <v>312</v>
      </c>
      <c r="K68" s="9" t="s">
        <v>312</v>
      </c>
      <c r="L68" s="9" t="s">
        <v>312</v>
      </c>
      <c r="M68" s="9" t="s">
        <v>312</v>
      </c>
      <c r="N68" s="9"/>
      <c r="O68" s="9"/>
      <c r="P68" s="9" t="s">
        <v>313</v>
      </c>
      <c r="Q68" s="9" t="s">
        <v>457</v>
      </c>
      <c r="R68" s="17" t="str">
        <f>IFERROR(INDEX('Ground Truth'!$G$2:$G$105,MATCH(A68,'Ground Truth'!$A$2:$A$105,0)),"")</f>
        <v>YES</v>
      </c>
      <c r="S68" s="17" t="str">
        <f>IFERROR(INDEX('Ground Truth'!$H$2:$H$105,MATCH(A68,'Ground Truth'!$A$2:$A$105,0)),"")</f>
        <v>executable</v>
      </c>
      <c r="T68" s="17">
        <f t="shared" si="8"/>
        <v>1</v>
      </c>
      <c r="U68" s="9" t="str">
        <f t="shared" si="9"/>
        <v>Compared with user-reviewed Ground Truth</v>
      </c>
      <c r="V68" s="17">
        <f t="shared" si="10"/>
        <v>1</v>
      </c>
      <c r="W68" s="17" t="str">
        <f t="shared" si="11"/>
        <v>TP</v>
      </c>
    </row>
    <row r="69" spans="1:23" ht="28.8" customHeight="1" x14ac:dyDescent="0.3">
      <c r="A69" s="9" t="s">
        <v>256</v>
      </c>
      <c r="B69" s="9" t="s">
        <v>241</v>
      </c>
      <c r="C69" s="9" t="s">
        <v>330</v>
      </c>
      <c r="D69" s="9" t="s">
        <v>331</v>
      </c>
      <c r="E69" s="9" t="s">
        <v>85</v>
      </c>
      <c r="F69" s="9" t="s">
        <v>86</v>
      </c>
      <c r="G69" s="9" t="s">
        <v>14</v>
      </c>
      <c r="H69" s="9" t="s">
        <v>15</v>
      </c>
      <c r="I69" s="9"/>
      <c r="J69" s="9" t="s">
        <v>312</v>
      </c>
      <c r="K69" s="9" t="s">
        <v>312</v>
      </c>
      <c r="L69" s="9" t="s">
        <v>312</v>
      </c>
      <c r="M69" s="9" t="s">
        <v>312</v>
      </c>
      <c r="N69" s="9"/>
      <c r="O69" s="9"/>
      <c r="P69" s="9" t="s">
        <v>313</v>
      </c>
      <c r="Q69" s="9" t="s">
        <v>457</v>
      </c>
      <c r="R69" s="17" t="str">
        <f>IFERROR(INDEX('Ground Truth'!$G$2:$G$105,MATCH(A69,'Ground Truth'!$A$2:$A$105,0)),"")</f>
        <v>YES</v>
      </c>
      <c r="S69" s="17" t="str">
        <f>IFERROR(INDEX('Ground Truth'!$H$2:$H$105,MATCH(A69,'Ground Truth'!$A$2:$A$105,0)),"")</f>
        <v>executable</v>
      </c>
      <c r="T69" s="17">
        <f t="shared" si="8"/>
        <v>1</v>
      </c>
      <c r="U69" s="9" t="str">
        <f t="shared" si="9"/>
        <v>Compared with user-reviewed Ground Truth</v>
      </c>
      <c r="V69" s="17">
        <f t="shared" si="10"/>
        <v>1</v>
      </c>
      <c r="W69" s="17" t="str">
        <f t="shared" si="11"/>
        <v>TP</v>
      </c>
    </row>
    <row r="70" spans="1:23" ht="28.8" customHeight="1" x14ac:dyDescent="0.3">
      <c r="A70" s="9" t="s">
        <v>257</v>
      </c>
      <c r="B70" s="9" t="s">
        <v>241</v>
      </c>
      <c r="C70" s="9" t="s">
        <v>330</v>
      </c>
      <c r="D70" s="9" t="s">
        <v>331</v>
      </c>
      <c r="E70" s="9" t="s">
        <v>90</v>
      </c>
      <c r="F70" s="9" t="s">
        <v>91</v>
      </c>
      <c r="G70" s="9" t="s">
        <v>26</v>
      </c>
      <c r="H70" s="9" t="s">
        <v>64</v>
      </c>
      <c r="I70" s="9" t="s">
        <v>334</v>
      </c>
      <c r="J70" s="9" t="s">
        <v>312</v>
      </c>
      <c r="K70" s="9" t="s">
        <v>315</v>
      </c>
      <c r="L70" s="9" t="s">
        <v>312</v>
      </c>
      <c r="M70" s="9" t="s">
        <v>312</v>
      </c>
      <c r="N70" s="9" t="s">
        <v>335</v>
      </c>
      <c r="O70" s="9"/>
      <c r="P70" s="9" t="s">
        <v>313</v>
      </c>
      <c r="Q70" s="9" t="s">
        <v>457</v>
      </c>
      <c r="R70" s="17" t="str">
        <f>IFERROR(INDEX('Ground Truth'!$G$2:$G$105,MATCH(A70,'Ground Truth'!$A$2:$A$105,0)),"")</f>
        <v>NO</v>
      </c>
      <c r="S70" s="17" t="str">
        <f>IFERROR(INDEX('Ground Truth'!$H$2:$H$105,MATCH(A70,'Ground Truth'!$A$2:$A$105,0)),"")</f>
        <v>partial</v>
      </c>
      <c r="T70" s="17">
        <f t="shared" si="8"/>
        <v>1</v>
      </c>
      <c r="U70" s="9" t="str">
        <f t="shared" si="9"/>
        <v>Compared with user-reviewed Ground Truth</v>
      </c>
      <c r="V70" s="17">
        <f t="shared" si="10"/>
        <v>1</v>
      </c>
      <c r="W70" s="17" t="str">
        <f t="shared" si="11"/>
        <v>TN</v>
      </c>
    </row>
    <row r="71" spans="1:23" ht="28.8" customHeight="1" x14ac:dyDescent="0.3">
      <c r="A71" s="9" t="s">
        <v>258</v>
      </c>
      <c r="B71" s="9" t="s">
        <v>241</v>
      </c>
      <c r="C71" s="9" t="s">
        <v>330</v>
      </c>
      <c r="D71" s="9" t="s">
        <v>331</v>
      </c>
      <c r="E71" s="9" t="s">
        <v>95</v>
      </c>
      <c r="F71" s="9" t="s">
        <v>96</v>
      </c>
      <c r="G71" s="9" t="s">
        <v>26</v>
      </c>
      <c r="H71" s="9" t="s">
        <v>64</v>
      </c>
      <c r="I71" s="9" t="s">
        <v>334</v>
      </c>
      <c r="J71" s="9" t="s">
        <v>312</v>
      </c>
      <c r="K71" s="9" t="s">
        <v>315</v>
      </c>
      <c r="L71" s="9" t="s">
        <v>312</v>
      </c>
      <c r="M71" s="9" t="s">
        <v>312</v>
      </c>
      <c r="N71" s="9" t="s">
        <v>336</v>
      </c>
      <c r="O71" s="9"/>
      <c r="P71" s="9" t="s">
        <v>313</v>
      </c>
      <c r="Q71" s="9" t="s">
        <v>457</v>
      </c>
      <c r="R71" s="17" t="str">
        <f>IFERROR(INDEX('Ground Truth'!$G$2:$G$105,MATCH(A71,'Ground Truth'!$A$2:$A$105,0)),"")</f>
        <v>NO</v>
      </c>
      <c r="S71" s="17" t="str">
        <f>IFERROR(INDEX('Ground Truth'!$H$2:$H$105,MATCH(A71,'Ground Truth'!$A$2:$A$105,0)),"")</f>
        <v>partial</v>
      </c>
      <c r="T71" s="17">
        <f t="shared" si="8"/>
        <v>1</v>
      </c>
      <c r="U71" s="9" t="str">
        <f t="shared" si="9"/>
        <v>Compared with user-reviewed Ground Truth</v>
      </c>
      <c r="V71" s="17">
        <f t="shared" si="10"/>
        <v>1</v>
      </c>
      <c r="W71" s="17" t="str">
        <f t="shared" si="11"/>
        <v>TN</v>
      </c>
    </row>
    <row r="72" spans="1:23" ht="28.8" customHeight="1" x14ac:dyDescent="0.3">
      <c r="A72" s="9" t="s">
        <v>259</v>
      </c>
      <c r="B72" s="9" t="s">
        <v>241</v>
      </c>
      <c r="C72" s="9" t="s">
        <v>330</v>
      </c>
      <c r="D72" s="9" t="s">
        <v>331</v>
      </c>
      <c r="E72" s="9" t="s">
        <v>99</v>
      </c>
      <c r="F72" s="9" t="s">
        <v>100</v>
      </c>
      <c r="G72" s="9" t="s">
        <v>14</v>
      </c>
      <c r="H72" s="9" t="s">
        <v>15</v>
      </c>
      <c r="I72" s="9"/>
      <c r="J72" s="9" t="s">
        <v>312</v>
      </c>
      <c r="K72" s="9" t="s">
        <v>312</v>
      </c>
      <c r="L72" s="9" t="s">
        <v>312</v>
      </c>
      <c r="M72" s="9" t="s">
        <v>312</v>
      </c>
      <c r="N72" s="9"/>
      <c r="O72" s="9"/>
      <c r="P72" s="9" t="s">
        <v>313</v>
      </c>
      <c r="Q72" s="9" t="s">
        <v>457</v>
      </c>
      <c r="R72" s="17" t="str">
        <f>IFERROR(INDEX('Ground Truth'!$G$2:$G$105,MATCH(A72,'Ground Truth'!$A$2:$A$105,0)),"")</f>
        <v>YES</v>
      </c>
      <c r="S72" s="17" t="str">
        <f>IFERROR(INDEX('Ground Truth'!$H$2:$H$105,MATCH(A72,'Ground Truth'!$A$2:$A$105,0)),"")</f>
        <v>executable</v>
      </c>
      <c r="T72" s="17">
        <f t="shared" si="8"/>
        <v>1</v>
      </c>
      <c r="U72" s="9" t="str">
        <f t="shared" si="9"/>
        <v>Compared with user-reviewed Ground Truth</v>
      </c>
      <c r="V72" s="17">
        <f t="shared" si="10"/>
        <v>1</v>
      </c>
      <c r="W72" s="17" t="str">
        <f t="shared" si="11"/>
        <v>TP</v>
      </c>
    </row>
    <row r="73" spans="1:23" ht="28.8" customHeight="1" x14ac:dyDescent="0.3">
      <c r="A73" s="9" t="s">
        <v>260</v>
      </c>
      <c r="B73" s="9" t="s">
        <v>241</v>
      </c>
      <c r="C73" s="9" t="s">
        <v>330</v>
      </c>
      <c r="D73" s="9" t="s">
        <v>331</v>
      </c>
      <c r="E73" s="9" t="s">
        <v>104</v>
      </c>
      <c r="F73" s="9" t="s">
        <v>105</v>
      </c>
      <c r="G73" s="9" t="s">
        <v>14</v>
      </c>
      <c r="H73" s="9" t="s">
        <v>15</v>
      </c>
      <c r="I73" s="9"/>
      <c r="J73" s="9" t="s">
        <v>312</v>
      </c>
      <c r="K73" s="9" t="s">
        <v>312</v>
      </c>
      <c r="L73" s="9" t="s">
        <v>312</v>
      </c>
      <c r="M73" s="9" t="s">
        <v>312</v>
      </c>
      <c r="N73" s="9"/>
      <c r="O73" s="9"/>
      <c r="P73" s="9" t="s">
        <v>313</v>
      </c>
      <c r="Q73" s="9" t="s">
        <v>457</v>
      </c>
      <c r="R73" s="17" t="str">
        <f>IFERROR(INDEX('Ground Truth'!$G$2:$G$105,MATCH(A73,'Ground Truth'!$A$2:$A$105,0)),"")</f>
        <v>YES</v>
      </c>
      <c r="S73" s="17" t="str">
        <f>IFERROR(INDEX('Ground Truth'!$H$2:$H$105,MATCH(A73,'Ground Truth'!$A$2:$A$105,0)),"")</f>
        <v>executable</v>
      </c>
      <c r="T73" s="17">
        <f t="shared" si="8"/>
        <v>1</v>
      </c>
      <c r="U73" s="9" t="str">
        <f t="shared" si="9"/>
        <v>Compared with user-reviewed Ground Truth</v>
      </c>
      <c r="V73" s="17">
        <f t="shared" si="10"/>
        <v>1</v>
      </c>
      <c r="W73" s="17" t="str">
        <f t="shared" si="11"/>
        <v>TP</v>
      </c>
    </row>
    <row r="74" spans="1:23" ht="28.8" customHeight="1" x14ac:dyDescent="0.3">
      <c r="A74" s="9" t="s">
        <v>261</v>
      </c>
      <c r="B74" s="9" t="s">
        <v>241</v>
      </c>
      <c r="C74" s="9" t="s">
        <v>330</v>
      </c>
      <c r="D74" s="9" t="s">
        <v>331</v>
      </c>
      <c r="E74" s="9" t="s">
        <v>109</v>
      </c>
      <c r="F74" s="9" t="s">
        <v>110</v>
      </c>
      <c r="G74" s="9" t="s">
        <v>14</v>
      </c>
      <c r="H74" s="9" t="s">
        <v>15</v>
      </c>
      <c r="I74" s="9"/>
      <c r="J74" s="9" t="s">
        <v>312</v>
      </c>
      <c r="K74" s="9" t="s">
        <v>312</v>
      </c>
      <c r="L74" s="9" t="s">
        <v>312</v>
      </c>
      <c r="M74" s="9" t="s">
        <v>312</v>
      </c>
      <c r="N74" s="9"/>
      <c r="O74" s="9"/>
      <c r="P74" s="9" t="s">
        <v>313</v>
      </c>
      <c r="Q74" s="9" t="s">
        <v>457</v>
      </c>
      <c r="R74" s="17" t="str">
        <f>IFERROR(INDEX('Ground Truth'!$G$2:$G$105,MATCH(A74,'Ground Truth'!$A$2:$A$105,0)),"")</f>
        <v>YES</v>
      </c>
      <c r="S74" s="17" t="str">
        <f>IFERROR(INDEX('Ground Truth'!$H$2:$H$105,MATCH(A74,'Ground Truth'!$A$2:$A$105,0)),"")</f>
        <v>executable</v>
      </c>
      <c r="T74" s="17">
        <f t="shared" si="8"/>
        <v>1</v>
      </c>
      <c r="U74" s="9" t="str">
        <f t="shared" si="9"/>
        <v>Compared with user-reviewed Ground Truth</v>
      </c>
      <c r="V74" s="17">
        <f t="shared" si="10"/>
        <v>1</v>
      </c>
      <c r="W74" s="17" t="str">
        <f t="shared" si="11"/>
        <v>TP</v>
      </c>
    </row>
    <row r="75" spans="1:23" ht="28.8" customHeight="1" x14ac:dyDescent="0.3">
      <c r="A75" s="9" t="s">
        <v>262</v>
      </c>
      <c r="B75" s="9" t="s">
        <v>241</v>
      </c>
      <c r="C75" s="9" t="s">
        <v>330</v>
      </c>
      <c r="D75" s="9" t="s">
        <v>331</v>
      </c>
      <c r="E75" s="9" t="s">
        <v>113</v>
      </c>
      <c r="F75" s="9" t="s">
        <v>114</v>
      </c>
      <c r="G75" s="9" t="s">
        <v>14</v>
      </c>
      <c r="H75" s="9" t="s">
        <v>15</v>
      </c>
      <c r="I75" s="9"/>
      <c r="J75" s="9" t="s">
        <v>312</v>
      </c>
      <c r="K75" s="9" t="s">
        <v>312</v>
      </c>
      <c r="L75" s="9" t="s">
        <v>312</v>
      </c>
      <c r="M75" s="9" t="s">
        <v>312</v>
      </c>
      <c r="N75" s="9"/>
      <c r="O75" s="9"/>
      <c r="P75" s="9" t="s">
        <v>313</v>
      </c>
      <c r="Q75" s="9" t="s">
        <v>457</v>
      </c>
      <c r="R75" s="17" t="str">
        <f>IFERROR(INDEX('Ground Truth'!$G$2:$G$105,MATCH(A75,'Ground Truth'!$A$2:$A$105,0)),"")</f>
        <v>YES</v>
      </c>
      <c r="S75" s="17" t="str">
        <f>IFERROR(INDEX('Ground Truth'!$H$2:$H$105,MATCH(A75,'Ground Truth'!$A$2:$A$105,0)),"")</f>
        <v>executable</v>
      </c>
      <c r="T75" s="17">
        <f t="shared" si="8"/>
        <v>1</v>
      </c>
      <c r="U75" s="9" t="str">
        <f t="shared" si="9"/>
        <v>Compared with user-reviewed Ground Truth</v>
      </c>
      <c r="V75" s="17">
        <f t="shared" si="10"/>
        <v>1</v>
      </c>
      <c r="W75" s="17" t="str">
        <f t="shared" si="11"/>
        <v>TP</v>
      </c>
    </row>
    <row r="76" spans="1:23" ht="28.8" customHeight="1" x14ac:dyDescent="0.3">
      <c r="A76" s="9" t="s">
        <v>263</v>
      </c>
      <c r="B76" s="9" t="s">
        <v>241</v>
      </c>
      <c r="C76" s="9" t="s">
        <v>330</v>
      </c>
      <c r="D76" s="9" t="s">
        <v>331</v>
      </c>
      <c r="E76" s="9" t="s">
        <v>117</v>
      </c>
      <c r="F76" s="9" t="s">
        <v>118</v>
      </c>
      <c r="G76" s="9" t="s">
        <v>14</v>
      </c>
      <c r="H76" s="9" t="s">
        <v>15</v>
      </c>
      <c r="I76" s="9"/>
      <c r="J76" s="9" t="s">
        <v>312</v>
      </c>
      <c r="K76" s="9" t="s">
        <v>312</v>
      </c>
      <c r="L76" s="9" t="s">
        <v>312</v>
      </c>
      <c r="M76" s="9" t="s">
        <v>312</v>
      </c>
      <c r="N76" s="9"/>
      <c r="O76" s="9"/>
      <c r="P76" s="9" t="s">
        <v>313</v>
      </c>
      <c r="Q76" s="9" t="s">
        <v>457</v>
      </c>
      <c r="R76" s="17" t="str">
        <f>IFERROR(INDEX('Ground Truth'!$G$2:$G$105,MATCH(A76,'Ground Truth'!$A$2:$A$105,0)),"")</f>
        <v>YES</v>
      </c>
      <c r="S76" s="17" t="str">
        <f>IFERROR(INDEX('Ground Truth'!$H$2:$H$105,MATCH(A76,'Ground Truth'!$A$2:$A$105,0)),"")</f>
        <v>executable</v>
      </c>
      <c r="T76" s="17">
        <f t="shared" si="8"/>
        <v>1</v>
      </c>
      <c r="U76" s="9" t="str">
        <f t="shared" si="9"/>
        <v>Compared with user-reviewed Ground Truth</v>
      </c>
      <c r="V76" s="17">
        <f t="shared" si="10"/>
        <v>1</v>
      </c>
      <c r="W76" s="17" t="str">
        <f t="shared" si="11"/>
        <v>TP</v>
      </c>
    </row>
    <row r="77" spans="1:23" ht="28.8" customHeight="1" x14ac:dyDescent="0.3">
      <c r="A77" s="9" t="s">
        <v>264</v>
      </c>
      <c r="B77" s="9" t="s">
        <v>241</v>
      </c>
      <c r="C77" s="9" t="s">
        <v>330</v>
      </c>
      <c r="D77" s="9" t="s">
        <v>331</v>
      </c>
      <c r="E77" s="9" t="s">
        <v>122</v>
      </c>
      <c r="F77" s="9" t="s">
        <v>123</v>
      </c>
      <c r="G77" s="9" t="s">
        <v>14</v>
      </c>
      <c r="H77" s="9" t="s">
        <v>15</v>
      </c>
      <c r="I77" s="9"/>
      <c r="J77" s="9" t="s">
        <v>312</v>
      </c>
      <c r="K77" s="9" t="s">
        <v>312</v>
      </c>
      <c r="L77" s="9" t="s">
        <v>312</v>
      </c>
      <c r="M77" s="9" t="s">
        <v>312</v>
      </c>
      <c r="N77" s="9"/>
      <c r="O77" s="9"/>
      <c r="P77" s="9" t="s">
        <v>313</v>
      </c>
      <c r="Q77" s="9" t="s">
        <v>457</v>
      </c>
      <c r="R77" s="17" t="str">
        <f>IFERROR(INDEX('Ground Truth'!$G$2:$G$105,MATCH(A77,'Ground Truth'!$A$2:$A$105,0)),"")</f>
        <v>YES</v>
      </c>
      <c r="S77" s="17" t="str">
        <f>IFERROR(INDEX('Ground Truth'!$H$2:$H$105,MATCH(A77,'Ground Truth'!$A$2:$A$105,0)),"")</f>
        <v>executable</v>
      </c>
      <c r="T77" s="17">
        <f t="shared" si="8"/>
        <v>1</v>
      </c>
      <c r="U77" s="9" t="str">
        <f t="shared" si="9"/>
        <v>Compared with user-reviewed Ground Truth</v>
      </c>
      <c r="V77" s="17">
        <f t="shared" si="10"/>
        <v>1</v>
      </c>
      <c r="W77" s="17" t="str">
        <f t="shared" si="11"/>
        <v>TP</v>
      </c>
    </row>
    <row r="78" spans="1:23" ht="28.8" customHeight="1" x14ac:dyDescent="0.3">
      <c r="A78" s="9" t="s">
        <v>265</v>
      </c>
      <c r="B78" s="9" t="s">
        <v>241</v>
      </c>
      <c r="C78" s="9" t="s">
        <v>330</v>
      </c>
      <c r="D78" s="9" t="s">
        <v>331</v>
      </c>
      <c r="E78" s="9" t="s">
        <v>125</v>
      </c>
      <c r="F78" s="9" t="s">
        <v>126</v>
      </c>
      <c r="G78" s="9" t="s">
        <v>14</v>
      </c>
      <c r="H78" s="9" t="s">
        <v>15</v>
      </c>
      <c r="I78" s="9"/>
      <c r="J78" s="9" t="s">
        <v>312</v>
      </c>
      <c r="K78" s="9" t="s">
        <v>312</v>
      </c>
      <c r="L78" s="9" t="s">
        <v>312</v>
      </c>
      <c r="M78" s="9" t="s">
        <v>312</v>
      </c>
      <c r="N78" s="9"/>
      <c r="O78" s="9"/>
      <c r="P78" s="9" t="s">
        <v>313</v>
      </c>
      <c r="Q78" s="9" t="s">
        <v>457</v>
      </c>
      <c r="R78" s="17" t="str">
        <f>IFERROR(INDEX('Ground Truth'!$G$2:$G$105,MATCH(A78,'Ground Truth'!$A$2:$A$105,0)),"")</f>
        <v>YES</v>
      </c>
      <c r="S78" s="17" t="str">
        <f>IFERROR(INDEX('Ground Truth'!$H$2:$H$105,MATCH(A78,'Ground Truth'!$A$2:$A$105,0)),"")</f>
        <v>executable</v>
      </c>
      <c r="T78" s="17">
        <f t="shared" si="8"/>
        <v>1</v>
      </c>
      <c r="U78" s="9" t="str">
        <f t="shared" si="9"/>
        <v>Compared with user-reviewed Ground Truth</v>
      </c>
      <c r="V78" s="17">
        <f t="shared" si="10"/>
        <v>1</v>
      </c>
      <c r="W78" s="17" t="str">
        <f t="shared" si="11"/>
        <v>TP</v>
      </c>
    </row>
    <row r="79" spans="1:23" ht="28.8" customHeight="1" x14ac:dyDescent="0.3">
      <c r="A79" s="9" t="s">
        <v>266</v>
      </c>
      <c r="B79" s="9" t="s">
        <v>241</v>
      </c>
      <c r="C79" s="9" t="s">
        <v>330</v>
      </c>
      <c r="D79" s="9" t="s">
        <v>331</v>
      </c>
      <c r="E79" s="9" t="s">
        <v>129</v>
      </c>
      <c r="F79" s="9" t="s">
        <v>130</v>
      </c>
      <c r="G79" s="9" t="s">
        <v>26</v>
      </c>
      <c r="H79" s="9" t="s">
        <v>64</v>
      </c>
      <c r="I79" s="9" t="s">
        <v>334</v>
      </c>
      <c r="J79" s="9" t="s">
        <v>312</v>
      </c>
      <c r="K79" s="9" t="s">
        <v>315</v>
      </c>
      <c r="L79" s="9" t="s">
        <v>312</v>
      </c>
      <c r="M79" s="9" t="s">
        <v>312</v>
      </c>
      <c r="N79" s="9" t="s">
        <v>333</v>
      </c>
      <c r="O79" s="9"/>
      <c r="P79" s="9" t="s">
        <v>313</v>
      </c>
      <c r="Q79" s="9" t="s">
        <v>457</v>
      </c>
      <c r="R79" s="17" t="str">
        <f>IFERROR(INDEX('Ground Truth'!$G$2:$G$105,MATCH(A79,'Ground Truth'!$A$2:$A$105,0)),"")</f>
        <v>NO</v>
      </c>
      <c r="S79" s="17" t="str">
        <f>IFERROR(INDEX('Ground Truth'!$H$2:$H$105,MATCH(A79,'Ground Truth'!$A$2:$A$105,0)),"")</f>
        <v>partial</v>
      </c>
      <c r="T79" s="17">
        <f t="shared" si="8"/>
        <v>1</v>
      </c>
      <c r="U79" s="9" t="str">
        <f t="shared" si="9"/>
        <v>Compared with user-reviewed Ground Truth</v>
      </c>
      <c r="V79" s="17">
        <f t="shared" si="10"/>
        <v>1</v>
      </c>
      <c r="W79" s="17" t="str">
        <f t="shared" si="11"/>
        <v>TN</v>
      </c>
    </row>
    <row r="80" spans="1:23" ht="28.8" customHeight="1" x14ac:dyDescent="0.3">
      <c r="A80" s="9" t="s">
        <v>267</v>
      </c>
      <c r="B80" s="9" t="s">
        <v>241</v>
      </c>
      <c r="C80" s="9" t="s">
        <v>330</v>
      </c>
      <c r="D80" s="9" t="s">
        <v>331</v>
      </c>
      <c r="E80" s="9" t="s">
        <v>132</v>
      </c>
      <c r="F80" s="9" t="s">
        <v>133</v>
      </c>
      <c r="G80" s="9" t="s">
        <v>14</v>
      </c>
      <c r="H80" s="9" t="s">
        <v>15</v>
      </c>
      <c r="I80" s="9"/>
      <c r="J80" s="9" t="s">
        <v>312</v>
      </c>
      <c r="K80" s="9" t="s">
        <v>312</v>
      </c>
      <c r="L80" s="9" t="s">
        <v>312</v>
      </c>
      <c r="M80" s="9" t="s">
        <v>312</v>
      </c>
      <c r="N80" s="9"/>
      <c r="O80" s="9"/>
      <c r="P80" s="9" t="s">
        <v>313</v>
      </c>
      <c r="Q80" s="9" t="s">
        <v>457</v>
      </c>
      <c r="R80" s="17" t="str">
        <f>IFERROR(INDEX('Ground Truth'!$G$2:$G$105,MATCH(A80,'Ground Truth'!$A$2:$A$105,0)),"")</f>
        <v>YES</v>
      </c>
      <c r="S80" s="17" t="str">
        <f>IFERROR(INDEX('Ground Truth'!$H$2:$H$105,MATCH(A80,'Ground Truth'!$A$2:$A$105,0)),"")</f>
        <v>executable</v>
      </c>
      <c r="T80" s="17">
        <f t="shared" si="8"/>
        <v>1</v>
      </c>
      <c r="U80" s="9" t="str">
        <f t="shared" si="9"/>
        <v>Compared with user-reviewed Ground Truth</v>
      </c>
      <c r="V80" s="17">
        <f t="shared" si="10"/>
        <v>1</v>
      </c>
      <c r="W80" s="17" t="str">
        <f t="shared" si="11"/>
        <v>TP</v>
      </c>
    </row>
    <row r="81" spans="1:23" ht="28.8" customHeight="1" x14ac:dyDescent="0.3">
      <c r="A81" s="9" t="s">
        <v>268</v>
      </c>
      <c r="B81" s="9" t="s">
        <v>241</v>
      </c>
      <c r="C81" s="9" t="s">
        <v>330</v>
      </c>
      <c r="D81" s="9" t="s">
        <v>331</v>
      </c>
      <c r="E81" s="9" t="s">
        <v>135</v>
      </c>
      <c r="F81" s="9" t="s">
        <v>136</v>
      </c>
      <c r="G81" s="9" t="s">
        <v>14</v>
      </c>
      <c r="H81" s="9" t="s">
        <v>15</v>
      </c>
      <c r="I81" s="9"/>
      <c r="J81" s="9" t="s">
        <v>312</v>
      </c>
      <c r="K81" s="9" t="s">
        <v>312</v>
      </c>
      <c r="L81" s="9" t="s">
        <v>312</v>
      </c>
      <c r="M81" s="9" t="s">
        <v>312</v>
      </c>
      <c r="N81" s="9"/>
      <c r="O81" s="9"/>
      <c r="P81" s="9" t="s">
        <v>313</v>
      </c>
      <c r="Q81" s="9" t="s">
        <v>457</v>
      </c>
      <c r="R81" s="17" t="str">
        <f>IFERROR(INDEX('Ground Truth'!$G$2:$G$105,MATCH(A81,'Ground Truth'!$A$2:$A$105,0)),"")</f>
        <v>YES</v>
      </c>
      <c r="S81" s="17" t="str">
        <f>IFERROR(INDEX('Ground Truth'!$H$2:$H$105,MATCH(A81,'Ground Truth'!$A$2:$A$105,0)),"")</f>
        <v>executable</v>
      </c>
      <c r="T81" s="17">
        <f t="shared" si="8"/>
        <v>1</v>
      </c>
      <c r="U81" s="9" t="str">
        <f t="shared" si="9"/>
        <v>Compared with user-reviewed Ground Truth</v>
      </c>
      <c r="V81" s="17">
        <f t="shared" si="10"/>
        <v>1</v>
      </c>
      <c r="W81" s="17" t="str">
        <f t="shared" si="11"/>
        <v>TP</v>
      </c>
    </row>
    <row r="82" spans="1:23" ht="28.8" customHeight="1" x14ac:dyDescent="0.3">
      <c r="A82" s="9" t="s">
        <v>269</v>
      </c>
      <c r="B82" s="9" t="s">
        <v>241</v>
      </c>
      <c r="C82" s="9" t="s">
        <v>330</v>
      </c>
      <c r="D82" s="9" t="s">
        <v>331</v>
      </c>
      <c r="E82" s="9" t="s">
        <v>138</v>
      </c>
      <c r="F82" s="9" t="s">
        <v>139</v>
      </c>
      <c r="G82" s="9" t="s">
        <v>26</v>
      </c>
      <c r="H82" s="9" t="s">
        <v>64</v>
      </c>
      <c r="I82" s="9" t="s">
        <v>337</v>
      </c>
      <c r="J82" s="9" t="s">
        <v>312</v>
      </c>
      <c r="K82" s="9" t="s">
        <v>315</v>
      </c>
      <c r="L82" s="9" t="s">
        <v>312</v>
      </c>
      <c r="M82" s="9" t="s">
        <v>312</v>
      </c>
      <c r="N82" s="9" t="s">
        <v>335</v>
      </c>
      <c r="O82" s="9"/>
      <c r="P82" s="9" t="s">
        <v>313</v>
      </c>
      <c r="Q82" s="9" t="s">
        <v>457</v>
      </c>
      <c r="R82" s="17" t="str">
        <f>IFERROR(INDEX('Ground Truth'!$G$2:$G$105,MATCH(A82,'Ground Truth'!$A$2:$A$105,0)),"")</f>
        <v>NO</v>
      </c>
      <c r="S82" s="17" t="str">
        <f>IFERROR(INDEX('Ground Truth'!$H$2:$H$105,MATCH(A82,'Ground Truth'!$A$2:$A$105,0)),"")</f>
        <v>partial</v>
      </c>
      <c r="T82" s="17">
        <f t="shared" si="8"/>
        <v>1</v>
      </c>
      <c r="U82" s="9" t="str">
        <f t="shared" si="9"/>
        <v>Compared with user-reviewed Ground Truth</v>
      </c>
      <c r="V82" s="17">
        <f t="shared" si="10"/>
        <v>1</v>
      </c>
      <c r="W82" s="17" t="str">
        <f t="shared" si="11"/>
        <v>TN</v>
      </c>
    </row>
    <row r="83" spans="1:23" ht="28.8" customHeight="1" x14ac:dyDescent="0.3">
      <c r="A83" s="9" t="s">
        <v>270</v>
      </c>
      <c r="B83" s="9" t="s">
        <v>241</v>
      </c>
      <c r="C83" s="9" t="s">
        <v>330</v>
      </c>
      <c r="D83" s="9" t="s">
        <v>331</v>
      </c>
      <c r="E83" s="9" t="s">
        <v>142</v>
      </c>
      <c r="F83" s="9" t="s">
        <v>143</v>
      </c>
      <c r="G83" s="9" t="s">
        <v>14</v>
      </c>
      <c r="H83" s="9" t="s">
        <v>15</v>
      </c>
      <c r="I83" s="9"/>
      <c r="J83" s="9" t="s">
        <v>312</v>
      </c>
      <c r="K83" s="9" t="s">
        <v>312</v>
      </c>
      <c r="L83" s="9" t="s">
        <v>312</v>
      </c>
      <c r="M83" s="9" t="s">
        <v>312</v>
      </c>
      <c r="N83" s="9"/>
      <c r="O83" s="9"/>
      <c r="P83" s="9" t="s">
        <v>313</v>
      </c>
      <c r="Q83" s="9" t="s">
        <v>457</v>
      </c>
      <c r="R83" s="17" t="str">
        <f>IFERROR(INDEX('Ground Truth'!$G$2:$G$105,MATCH(A83,'Ground Truth'!$A$2:$A$105,0)),"")</f>
        <v>YES</v>
      </c>
      <c r="S83" s="17" t="str">
        <f>IFERROR(INDEX('Ground Truth'!$H$2:$H$105,MATCH(A83,'Ground Truth'!$A$2:$A$105,0)),"")</f>
        <v>executable</v>
      </c>
      <c r="T83" s="17">
        <f t="shared" si="8"/>
        <v>1</v>
      </c>
      <c r="U83" s="9" t="str">
        <f t="shared" si="9"/>
        <v>Compared with user-reviewed Ground Truth</v>
      </c>
      <c r="V83" s="17">
        <f t="shared" si="10"/>
        <v>1</v>
      </c>
      <c r="W83" s="17" t="str">
        <f t="shared" si="11"/>
        <v>TP</v>
      </c>
    </row>
    <row r="84" spans="1:23" ht="28.8" customHeight="1" x14ac:dyDescent="0.3">
      <c r="A84" s="9" t="s">
        <v>271</v>
      </c>
      <c r="B84" s="9" t="s">
        <v>241</v>
      </c>
      <c r="C84" s="9" t="s">
        <v>330</v>
      </c>
      <c r="D84" s="9" t="s">
        <v>331</v>
      </c>
      <c r="E84" s="9" t="s">
        <v>147</v>
      </c>
      <c r="F84" s="9" t="s">
        <v>148</v>
      </c>
      <c r="G84" s="9" t="s">
        <v>14</v>
      </c>
      <c r="H84" s="9" t="s">
        <v>15</v>
      </c>
      <c r="I84" s="9"/>
      <c r="J84" s="9" t="s">
        <v>312</v>
      </c>
      <c r="K84" s="9" t="s">
        <v>312</v>
      </c>
      <c r="L84" s="9" t="s">
        <v>312</v>
      </c>
      <c r="M84" s="9" t="s">
        <v>312</v>
      </c>
      <c r="N84" s="9"/>
      <c r="O84" s="9"/>
      <c r="P84" s="9" t="s">
        <v>313</v>
      </c>
      <c r="Q84" s="9" t="s">
        <v>457</v>
      </c>
      <c r="R84" s="17" t="str">
        <f>IFERROR(INDEX('Ground Truth'!$G$2:$G$105,MATCH(A84,'Ground Truth'!$A$2:$A$105,0)),"")</f>
        <v>YES</v>
      </c>
      <c r="S84" s="17" t="str">
        <f>IFERROR(INDEX('Ground Truth'!$H$2:$H$105,MATCH(A84,'Ground Truth'!$A$2:$A$105,0)),"")</f>
        <v>executable</v>
      </c>
      <c r="T84" s="17">
        <f t="shared" si="8"/>
        <v>1</v>
      </c>
      <c r="U84" s="9" t="str">
        <f t="shared" si="9"/>
        <v>Compared with user-reviewed Ground Truth</v>
      </c>
      <c r="V84" s="17">
        <f t="shared" si="10"/>
        <v>1</v>
      </c>
      <c r="W84" s="17" t="str">
        <f t="shared" si="11"/>
        <v>TP</v>
      </c>
    </row>
    <row r="85" spans="1:23" ht="28.8" customHeight="1" x14ac:dyDescent="0.3">
      <c r="A85" s="9" t="s">
        <v>272</v>
      </c>
      <c r="B85" s="9" t="s">
        <v>241</v>
      </c>
      <c r="C85" s="9" t="s">
        <v>330</v>
      </c>
      <c r="D85" s="9" t="s">
        <v>331</v>
      </c>
      <c r="E85" s="9" t="s">
        <v>151</v>
      </c>
      <c r="F85" s="9" t="s">
        <v>152</v>
      </c>
      <c r="G85" s="9" t="s">
        <v>14</v>
      </c>
      <c r="H85" s="9" t="s">
        <v>15</v>
      </c>
      <c r="I85" s="9"/>
      <c r="J85" s="9" t="s">
        <v>312</v>
      </c>
      <c r="K85" s="9" t="s">
        <v>312</v>
      </c>
      <c r="L85" s="9" t="s">
        <v>312</v>
      </c>
      <c r="M85" s="9" t="s">
        <v>312</v>
      </c>
      <c r="N85" s="9"/>
      <c r="O85" s="9"/>
      <c r="P85" s="9" t="s">
        <v>313</v>
      </c>
      <c r="Q85" s="9" t="s">
        <v>457</v>
      </c>
      <c r="R85" s="17" t="str">
        <f>IFERROR(INDEX('Ground Truth'!$G$2:$G$105,MATCH(A85,'Ground Truth'!$A$2:$A$105,0)),"")</f>
        <v>YES</v>
      </c>
      <c r="S85" s="17" t="str">
        <f>IFERROR(INDEX('Ground Truth'!$H$2:$H$105,MATCH(A85,'Ground Truth'!$A$2:$A$105,0)),"")</f>
        <v>executable</v>
      </c>
      <c r="T85" s="17">
        <f t="shared" si="8"/>
        <v>1</v>
      </c>
      <c r="U85" s="9" t="str">
        <f t="shared" si="9"/>
        <v>Compared with user-reviewed Ground Truth</v>
      </c>
      <c r="V85" s="17">
        <f t="shared" si="10"/>
        <v>1</v>
      </c>
      <c r="W85" s="17" t="str">
        <f t="shared" si="11"/>
        <v>TP</v>
      </c>
    </row>
    <row r="86" spans="1:23" ht="28.8" customHeight="1" x14ac:dyDescent="0.3">
      <c r="A86" s="9" t="s">
        <v>273</v>
      </c>
      <c r="B86" s="9" t="s">
        <v>241</v>
      </c>
      <c r="C86" s="9" t="s">
        <v>330</v>
      </c>
      <c r="D86" s="9" t="s">
        <v>331</v>
      </c>
      <c r="E86" s="9" t="s">
        <v>155</v>
      </c>
      <c r="F86" s="9" t="s">
        <v>156</v>
      </c>
      <c r="G86" s="9" t="s">
        <v>14</v>
      </c>
      <c r="H86" s="9" t="s">
        <v>15</v>
      </c>
      <c r="I86" s="9"/>
      <c r="J86" s="9" t="s">
        <v>312</v>
      </c>
      <c r="K86" s="9" t="s">
        <v>312</v>
      </c>
      <c r="L86" s="9" t="s">
        <v>312</v>
      </c>
      <c r="M86" s="9" t="s">
        <v>312</v>
      </c>
      <c r="N86" s="9"/>
      <c r="O86" s="9"/>
      <c r="P86" s="9" t="s">
        <v>313</v>
      </c>
      <c r="Q86" s="9" t="s">
        <v>457</v>
      </c>
      <c r="R86" s="17" t="str">
        <f>IFERROR(INDEX('Ground Truth'!$G$2:$G$105,MATCH(A86,'Ground Truth'!$A$2:$A$105,0)),"")</f>
        <v>YES</v>
      </c>
      <c r="S86" s="17" t="str">
        <f>IFERROR(INDEX('Ground Truth'!$H$2:$H$105,MATCH(A86,'Ground Truth'!$A$2:$A$105,0)),"")</f>
        <v>executable</v>
      </c>
      <c r="T86" s="17">
        <f t="shared" si="8"/>
        <v>1</v>
      </c>
      <c r="U86" s="9" t="str">
        <f t="shared" si="9"/>
        <v>Compared with user-reviewed Ground Truth</v>
      </c>
      <c r="V86" s="17">
        <f t="shared" si="10"/>
        <v>1</v>
      </c>
      <c r="W86" s="17" t="str">
        <f t="shared" si="11"/>
        <v>TP</v>
      </c>
    </row>
    <row r="87" spans="1:23" ht="28.8" customHeight="1" x14ac:dyDescent="0.3">
      <c r="A87" s="9" t="s">
        <v>274</v>
      </c>
      <c r="B87" s="9" t="s">
        <v>241</v>
      </c>
      <c r="C87" s="9" t="s">
        <v>330</v>
      </c>
      <c r="D87" s="9" t="s">
        <v>331</v>
      </c>
      <c r="E87" s="9" t="s">
        <v>159</v>
      </c>
      <c r="F87" s="9" t="s">
        <v>160</v>
      </c>
      <c r="G87" s="9" t="s">
        <v>26</v>
      </c>
      <c r="H87" s="9" t="s">
        <v>64</v>
      </c>
      <c r="I87" s="9" t="s">
        <v>334</v>
      </c>
      <c r="J87" s="9" t="s">
        <v>312</v>
      </c>
      <c r="K87" s="9" t="s">
        <v>315</v>
      </c>
      <c r="L87" s="9" t="s">
        <v>312</v>
      </c>
      <c r="M87" s="9" t="s">
        <v>312</v>
      </c>
      <c r="N87" s="9" t="s">
        <v>335</v>
      </c>
      <c r="O87" s="9"/>
      <c r="P87" s="9" t="s">
        <v>313</v>
      </c>
      <c r="Q87" s="9" t="s">
        <v>457</v>
      </c>
      <c r="R87" s="17" t="str">
        <f>IFERROR(INDEX('Ground Truth'!$G$2:$G$105,MATCH(A87,'Ground Truth'!$A$2:$A$105,0)),"")</f>
        <v>NO</v>
      </c>
      <c r="S87" s="17" t="str">
        <f>IFERROR(INDEX('Ground Truth'!$H$2:$H$105,MATCH(A87,'Ground Truth'!$A$2:$A$105,0)),"")</f>
        <v>partial</v>
      </c>
      <c r="T87" s="17">
        <f t="shared" si="8"/>
        <v>1</v>
      </c>
      <c r="U87" s="9" t="str">
        <f t="shared" si="9"/>
        <v>Compared with user-reviewed Ground Truth</v>
      </c>
      <c r="V87" s="17">
        <f t="shared" si="10"/>
        <v>1</v>
      </c>
      <c r="W87" s="17" t="str">
        <f t="shared" si="11"/>
        <v>TN</v>
      </c>
    </row>
    <row r="88" spans="1:23" ht="28.8" customHeight="1" x14ac:dyDescent="0.3">
      <c r="A88" s="9" t="s">
        <v>275</v>
      </c>
      <c r="B88" s="9" t="s">
        <v>241</v>
      </c>
      <c r="C88" s="9" t="s">
        <v>330</v>
      </c>
      <c r="D88" s="9" t="s">
        <v>331</v>
      </c>
      <c r="E88" s="9" t="s">
        <v>164</v>
      </c>
      <c r="F88" s="9" t="s">
        <v>165</v>
      </c>
      <c r="G88" s="9" t="s">
        <v>14</v>
      </c>
      <c r="H88" s="9" t="s">
        <v>15</v>
      </c>
      <c r="I88" s="9"/>
      <c r="J88" s="9" t="s">
        <v>312</v>
      </c>
      <c r="K88" s="9" t="s">
        <v>312</v>
      </c>
      <c r="L88" s="9" t="s">
        <v>312</v>
      </c>
      <c r="M88" s="9" t="s">
        <v>312</v>
      </c>
      <c r="N88" s="9"/>
      <c r="O88" s="9"/>
      <c r="P88" s="9" t="s">
        <v>313</v>
      </c>
      <c r="Q88" s="9" t="s">
        <v>457</v>
      </c>
      <c r="R88" s="17" t="str">
        <f>IFERROR(INDEX('Ground Truth'!$G$2:$G$105,MATCH(A88,'Ground Truth'!$A$2:$A$105,0)),"")</f>
        <v>YES</v>
      </c>
      <c r="S88" s="17" t="str">
        <f>IFERROR(INDEX('Ground Truth'!$H$2:$H$105,MATCH(A88,'Ground Truth'!$A$2:$A$105,0)),"")</f>
        <v>executable</v>
      </c>
      <c r="T88" s="17">
        <f t="shared" si="8"/>
        <v>1</v>
      </c>
      <c r="U88" s="9" t="str">
        <f t="shared" si="9"/>
        <v>Compared with user-reviewed Ground Truth</v>
      </c>
      <c r="V88" s="17">
        <f t="shared" si="10"/>
        <v>1</v>
      </c>
      <c r="W88" s="17" t="str">
        <f t="shared" si="11"/>
        <v>TP</v>
      </c>
    </row>
    <row r="89" spans="1:23" ht="28.8" customHeight="1" x14ac:dyDescent="0.3">
      <c r="A89" s="9" t="s">
        <v>276</v>
      </c>
      <c r="B89" s="9" t="s">
        <v>241</v>
      </c>
      <c r="C89" s="9" t="s">
        <v>330</v>
      </c>
      <c r="D89" s="9" t="s">
        <v>331</v>
      </c>
      <c r="E89" s="9" t="s">
        <v>168</v>
      </c>
      <c r="F89" s="9" t="s">
        <v>169</v>
      </c>
      <c r="G89" s="9" t="s">
        <v>14</v>
      </c>
      <c r="H89" s="9" t="s">
        <v>15</v>
      </c>
      <c r="I89" s="9"/>
      <c r="J89" s="9" t="s">
        <v>312</v>
      </c>
      <c r="K89" s="9" t="s">
        <v>312</v>
      </c>
      <c r="L89" s="9" t="s">
        <v>312</v>
      </c>
      <c r="M89" s="9" t="s">
        <v>312</v>
      </c>
      <c r="N89" s="9"/>
      <c r="O89" s="9"/>
      <c r="P89" s="9" t="s">
        <v>313</v>
      </c>
      <c r="Q89" s="9" t="s">
        <v>457</v>
      </c>
      <c r="R89" s="17" t="str">
        <f>IFERROR(INDEX('Ground Truth'!$G$2:$G$105,MATCH(A89,'Ground Truth'!$A$2:$A$105,0)),"")</f>
        <v>YES</v>
      </c>
      <c r="S89" s="17" t="str">
        <f>IFERROR(INDEX('Ground Truth'!$H$2:$H$105,MATCH(A89,'Ground Truth'!$A$2:$A$105,0)),"")</f>
        <v>executable</v>
      </c>
      <c r="T89" s="17">
        <f t="shared" si="8"/>
        <v>1</v>
      </c>
      <c r="U89" s="9" t="str">
        <f t="shared" si="9"/>
        <v>Compared with user-reviewed Ground Truth</v>
      </c>
      <c r="V89" s="17">
        <f t="shared" si="10"/>
        <v>1</v>
      </c>
      <c r="W89" s="17" t="str">
        <f t="shared" si="11"/>
        <v>TP</v>
      </c>
    </row>
    <row r="90" spans="1:23" ht="28.8" customHeight="1" x14ac:dyDescent="0.3">
      <c r="A90" s="9" t="s">
        <v>277</v>
      </c>
      <c r="B90" s="9" t="s">
        <v>241</v>
      </c>
      <c r="C90" s="9" t="s">
        <v>330</v>
      </c>
      <c r="D90" s="9" t="s">
        <v>331</v>
      </c>
      <c r="E90" s="9" t="s">
        <v>172</v>
      </c>
      <c r="F90" s="9" t="s">
        <v>173</v>
      </c>
      <c r="G90" s="9" t="s">
        <v>14</v>
      </c>
      <c r="H90" s="9" t="s">
        <v>15</v>
      </c>
      <c r="I90" s="9"/>
      <c r="J90" s="9" t="s">
        <v>312</v>
      </c>
      <c r="K90" s="9" t="s">
        <v>312</v>
      </c>
      <c r="L90" s="9" t="s">
        <v>312</v>
      </c>
      <c r="M90" s="9" t="s">
        <v>312</v>
      </c>
      <c r="N90" s="9"/>
      <c r="O90" s="9"/>
      <c r="P90" s="9" t="s">
        <v>313</v>
      </c>
      <c r="Q90" s="9" t="s">
        <v>457</v>
      </c>
      <c r="R90" s="17" t="str">
        <f>IFERROR(INDEX('Ground Truth'!$G$2:$G$105,MATCH(A90,'Ground Truth'!$A$2:$A$105,0)),"")</f>
        <v>YES</v>
      </c>
      <c r="S90" s="17" t="str">
        <f>IFERROR(INDEX('Ground Truth'!$H$2:$H$105,MATCH(A90,'Ground Truth'!$A$2:$A$105,0)),"")</f>
        <v>executable</v>
      </c>
      <c r="T90" s="17">
        <f t="shared" si="8"/>
        <v>1</v>
      </c>
      <c r="U90" s="9" t="str">
        <f t="shared" si="9"/>
        <v>Compared with user-reviewed Ground Truth</v>
      </c>
      <c r="V90" s="17">
        <f t="shared" si="10"/>
        <v>1</v>
      </c>
      <c r="W90" s="17" t="str">
        <f t="shared" si="11"/>
        <v>TP</v>
      </c>
    </row>
    <row r="91" spans="1:23" ht="28.8" customHeight="1" x14ac:dyDescent="0.3">
      <c r="A91" s="9" t="s">
        <v>278</v>
      </c>
      <c r="B91" s="9" t="s">
        <v>241</v>
      </c>
      <c r="C91" s="9" t="s">
        <v>330</v>
      </c>
      <c r="D91" s="9" t="s">
        <v>331</v>
      </c>
      <c r="E91" s="9" t="s">
        <v>176</v>
      </c>
      <c r="F91" s="9" t="s">
        <v>327</v>
      </c>
      <c r="G91" s="9" t="s">
        <v>14</v>
      </c>
      <c r="H91" s="9" t="s">
        <v>15</v>
      </c>
      <c r="I91" s="9"/>
      <c r="J91" s="9" t="s">
        <v>312</v>
      </c>
      <c r="K91" s="9" t="s">
        <v>312</v>
      </c>
      <c r="L91" s="9" t="s">
        <v>312</v>
      </c>
      <c r="M91" s="9" t="s">
        <v>312</v>
      </c>
      <c r="N91" s="9"/>
      <c r="O91" s="9"/>
      <c r="P91" s="9" t="s">
        <v>313</v>
      </c>
      <c r="Q91" s="9" t="s">
        <v>457</v>
      </c>
      <c r="R91" s="17" t="str">
        <f>IFERROR(INDEX('Ground Truth'!$G$2:$G$105,MATCH(A91,'Ground Truth'!$A$2:$A$105,0)),"")</f>
        <v>YES</v>
      </c>
      <c r="S91" s="17" t="str">
        <f>IFERROR(INDEX('Ground Truth'!$H$2:$H$105,MATCH(A91,'Ground Truth'!$A$2:$A$105,0)),"")</f>
        <v>executable</v>
      </c>
      <c r="T91" s="17">
        <f t="shared" si="8"/>
        <v>1</v>
      </c>
      <c r="U91" s="9" t="str">
        <f t="shared" si="9"/>
        <v>Compared with user-reviewed Ground Truth</v>
      </c>
      <c r="V91" s="17">
        <f t="shared" si="10"/>
        <v>1</v>
      </c>
      <c r="W91" s="17" t="str">
        <f t="shared" si="11"/>
        <v>TP</v>
      </c>
    </row>
    <row r="92" spans="1:23" ht="28.8" customHeight="1" x14ac:dyDescent="0.3">
      <c r="A92" s="9" t="s">
        <v>279</v>
      </c>
      <c r="B92" s="9" t="s">
        <v>241</v>
      </c>
      <c r="C92" s="9" t="s">
        <v>330</v>
      </c>
      <c r="D92" s="9" t="s">
        <v>331</v>
      </c>
      <c r="E92" s="9" t="s">
        <v>180</v>
      </c>
      <c r="F92" s="9" t="s">
        <v>181</v>
      </c>
      <c r="G92" s="9" t="s">
        <v>14</v>
      </c>
      <c r="H92" s="9" t="s">
        <v>15</v>
      </c>
      <c r="I92" s="9"/>
      <c r="J92" s="9" t="s">
        <v>312</v>
      </c>
      <c r="K92" s="9" t="s">
        <v>312</v>
      </c>
      <c r="L92" s="9" t="s">
        <v>312</v>
      </c>
      <c r="M92" s="9" t="s">
        <v>312</v>
      </c>
      <c r="N92" s="9"/>
      <c r="O92" s="9"/>
      <c r="P92" s="9" t="s">
        <v>313</v>
      </c>
      <c r="Q92" s="9" t="s">
        <v>457</v>
      </c>
      <c r="R92" s="17" t="str">
        <f>IFERROR(INDEX('Ground Truth'!$G$2:$G$105,MATCH(A92,'Ground Truth'!$A$2:$A$105,0)),"")</f>
        <v>YES</v>
      </c>
      <c r="S92" s="17" t="str">
        <f>IFERROR(INDEX('Ground Truth'!$H$2:$H$105,MATCH(A92,'Ground Truth'!$A$2:$A$105,0)),"")</f>
        <v>executable</v>
      </c>
      <c r="T92" s="17">
        <f t="shared" si="8"/>
        <v>1</v>
      </c>
      <c r="U92" s="9" t="str">
        <f t="shared" si="9"/>
        <v>Compared with user-reviewed Ground Truth</v>
      </c>
      <c r="V92" s="17">
        <f t="shared" si="10"/>
        <v>1</v>
      </c>
      <c r="W92" s="17" t="str">
        <f t="shared" si="11"/>
        <v>TP</v>
      </c>
    </row>
    <row r="93" spans="1:23" ht="28.8" customHeight="1" x14ac:dyDescent="0.3">
      <c r="A93" s="9" t="s">
        <v>280</v>
      </c>
      <c r="B93" s="9" t="s">
        <v>241</v>
      </c>
      <c r="C93" s="9" t="s">
        <v>330</v>
      </c>
      <c r="D93" s="9" t="s">
        <v>331</v>
      </c>
      <c r="E93" s="9" t="s">
        <v>184</v>
      </c>
      <c r="F93" s="9" t="s">
        <v>185</v>
      </c>
      <c r="G93" s="9" t="s">
        <v>14</v>
      </c>
      <c r="H93" s="9" t="s">
        <v>15</v>
      </c>
      <c r="I93" s="9"/>
      <c r="J93" s="9" t="s">
        <v>312</v>
      </c>
      <c r="K93" s="9" t="s">
        <v>312</v>
      </c>
      <c r="L93" s="9" t="s">
        <v>312</v>
      </c>
      <c r="M93" s="9" t="s">
        <v>312</v>
      </c>
      <c r="N93" s="9"/>
      <c r="O93" s="9"/>
      <c r="P93" s="9" t="s">
        <v>313</v>
      </c>
      <c r="Q93" s="9" t="s">
        <v>457</v>
      </c>
      <c r="R93" s="17" t="str">
        <f>IFERROR(INDEX('Ground Truth'!$G$2:$G$105,MATCH(A93,'Ground Truth'!$A$2:$A$105,0)),"")</f>
        <v>YES</v>
      </c>
      <c r="S93" s="17" t="str">
        <f>IFERROR(INDEX('Ground Truth'!$H$2:$H$105,MATCH(A93,'Ground Truth'!$A$2:$A$105,0)),"")</f>
        <v>executable</v>
      </c>
      <c r="T93" s="17">
        <f t="shared" si="8"/>
        <v>1</v>
      </c>
      <c r="U93" s="9" t="str">
        <f t="shared" si="9"/>
        <v>Compared with user-reviewed Ground Truth</v>
      </c>
      <c r="V93" s="17">
        <f t="shared" si="10"/>
        <v>1</v>
      </c>
      <c r="W93" s="17" t="str">
        <f t="shared" si="11"/>
        <v>TP</v>
      </c>
    </row>
    <row r="94" spans="1:23" ht="28.8" customHeight="1" x14ac:dyDescent="0.3">
      <c r="A94" s="9" t="s">
        <v>281</v>
      </c>
      <c r="B94" s="9" t="s">
        <v>241</v>
      </c>
      <c r="C94" s="9" t="s">
        <v>330</v>
      </c>
      <c r="D94" s="9" t="s">
        <v>331</v>
      </c>
      <c r="E94" s="9" t="s">
        <v>188</v>
      </c>
      <c r="F94" s="9" t="s">
        <v>189</v>
      </c>
      <c r="G94" s="9" t="s">
        <v>14</v>
      </c>
      <c r="H94" s="9" t="s">
        <v>15</v>
      </c>
      <c r="I94" s="9"/>
      <c r="J94" s="9" t="s">
        <v>312</v>
      </c>
      <c r="K94" s="9" t="s">
        <v>312</v>
      </c>
      <c r="L94" s="9" t="s">
        <v>312</v>
      </c>
      <c r="M94" s="9" t="s">
        <v>312</v>
      </c>
      <c r="N94" s="9"/>
      <c r="O94" s="9"/>
      <c r="P94" s="9" t="s">
        <v>313</v>
      </c>
      <c r="Q94" s="9" t="s">
        <v>457</v>
      </c>
      <c r="R94" s="17" t="str">
        <f>IFERROR(INDEX('Ground Truth'!$G$2:$G$105,MATCH(A94,'Ground Truth'!$A$2:$A$105,0)),"")</f>
        <v>YES</v>
      </c>
      <c r="S94" s="17" t="str">
        <f>IFERROR(INDEX('Ground Truth'!$H$2:$H$105,MATCH(A94,'Ground Truth'!$A$2:$A$105,0)),"")</f>
        <v>executable</v>
      </c>
      <c r="T94" s="17">
        <f t="shared" si="8"/>
        <v>1</v>
      </c>
      <c r="U94" s="9" t="str">
        <f t="shared" si="9"/>
        <v>Compared with user-reviewed Ground Truth</v>
      </c>
      <c r="V94" s="17">
        <f t="shared" si="10"/>
        <v>1</v>
      </c>
      <c r="W94" s="17" t="str">
        <f t="shared" si="11"/>
        <v>TP</v>
      </c>
    </row>
    <row r="95" spans="1:23" ht="28.8" customHeight="1" x14ac:dyDescent="0.3">
      <c r="A95" s="9" t="s">
        <v>282</v>
      </c>
      <c r="B95" s="9" t="s">
        <v>241</v>
      </c>
      <c r="C95" s="9" t="s">
        <v>330</v>
      </c>
      <c r="D95" s="9" t="s">
        <v>331</v>
      </c>
      <c r="E95" s="9" t="s">
        <v>193</v>
      </c>
      <c r="F95" s="9" t="s">
        <v>194</v>
      </c>
      <c r="G95" s="9" t="s">
        <v>14</v>
      </c>
      <c r="H95" s="9" t="s">
        <v>15</v>
      </c>
      <c r="I95" s="9"/>
      <c r="J95" s="9" t="s">
        <v>312</v>
      </c>
      <c r="K95" s="9" t="s">
        <v>312</v>
      </c>
      <c r="L95" s="9" t="s">
        <v>312</v>
      </c>
      <c r="M95" s="9" t="s">
        <v>312</v>
      </c>
      <c r="N95" s="9"/>
      <c r="O95" s="9"/>
      <c r="P95" s="9" t="s">
        <v>313</v>
      </c>
      <c r="Q95" s="9" t="s">
        <v>457</v>
      </c>
      <c r="R95" s="17" t="str">
        <f>IFERROR(INDEX('Ground Truth'!$G$2:$G$105,MATCH(A95,'Ground Truth'!$A$2:$A$105,0)),"")</f>
        <v>YES</v>
      </c>
      <c r="S95" s="17" t="str">
        <f>IFERROR(INDEX('Ground Truth'!$H$2:$H$105,MATCH(A95,'Ground Truth'!$A$2:$A$105,0)),"")</f>
        <v>executable</v>
      </c>
      <c r="T95" s="17">
        <f t="shared" si="8"/>
        <v>1</v>
      </c>
      <c r="U95" s="9" t="str">
        <f t="shared" si="9"/>
        <v>Compared with user-reviewed Ground Truth</v>
      </c>
      <c r="V95" s="17">
        <f t="shared" si="10"/>
        <v>1</v>
      </c>
      <c r="W95" s="17" t="str">
        <f t="shared" si="11"/>
        <v>TP</v>
      </c>
    </row>
    <row r="96" spans="1:23" ht="28.8" customHeight="1" x14ac:dyDescent="0.3">
      <c r="A96" s="9" t="s">
        <v>283</v>
      </c>
      <c r="B96" s="9" t="s">
        <v>241</v>
      </c>
      <c r="C96" s="9" t="s">
        <v>330</v>
      </c>
      <c r="D96" s="9" t="s">
        <v>331</v>
      </c>
      <c r="E96" s="9" t="s">
        <v>198</v>
      </c>
      <c r="F96" s="9" t="s">
        <v>199</v>
      </c>
      <c r="G96" s="9" t="s">
        <v>14</v>
      </c>
      <c r="H96" s="9" t="s">
        <v>15</v>
      </c>
      <c r="I96" s="9"/>
      <c r="J96" s="9" t="s">
        <v>312</v>
      </c>
      <c r="K96" s="9" t="s">
        <v>312</v>
      </c>
      <c r="L96" s="9" t="s">
        <v>312</v>
      </c>
      <c r="M96" s="9" t="s">
        <v>312</v>
      </c>
      <c r="N96" s="9"/>
      <c r="O96" s="9"/>
      <c r="P96" s="9" t="s">
        <v>313</v>
      </c>
      <c r="Q96" s="9" t="s">
        <v>457</v>
      </c>
      <c r="R96" s="17" t="str">
        <f>IFERROR(INDEX('Ground Truth'!$G$2:$G$105,MATCH(A96,'Ground Truth'!$A$2:$A$105,0)),"")</f>
        <v>YES</v>
      </c>
      <c r="S96" s="17" t="str">
        <f>IFERROR(INDEX('Ground Truth'!$H$2:$H$105,MATCH(A96,'Ground Truth'!$A$2:$A$105,0)),"")</f>
        <v>executable</v>
      </c>
      <c r="T96" s="17">
        <f t="shared" si="8"/>
        <v>1</v>
      </c>
      <c r="U96" s="9" t="str">
        <f t="shared" si="9"/>
        <v>Compared with user-reviewed Ground Truth</v>
      </c>
      <c r="V96" s="17">
        <f t="shared" si="10"/>
        <v>1</v>
      </c>
      <c r="W96" s="17" t="str">
        <f t="shared" si="11"/>
        <v>TP</v>
      </c>
    </row>
    <row r="97" spans="1:23" ht="28.8" customHeight="1" x14ac:dyDescent="0.3">
      <c r="A97" s="9" t="s">
        <v>284</v>
      </c>
      <c r="B97" s="9" t="s">
        <v>241</v>
      </c>
      <c r="C97" s="9" t="s">
        <v>330</v>
      </c>
      <c r="D97" s="9" t="s">
        <v>331</v>
      </c>
      <c r="E97" s="9" t="s">
        <v>203</v>
      </c>
      <c r="F97" s="9" t="s">
        <v>204</v>
      </c>
      <c r="G97" s="9" t="s">
        <v>14</v>
      </c>
      <c r="H97" s="9" t="s">
        <v>15</v>
      </c>
      <c r="I97" s="9"/>
      <c r="J97" s="9" t="s">
        <v>312</v>
      </c>
      <c r="K97" s="9" t="s">
        <v>312</v>
      </c>
      <c r="L97" s="9" t="s">
        <v>312</v>
      </c>
      <c r="M97" s="9" t="s">
        <v>312</v>
      </c>
      <c r="N97" s="9"/>
      <c r="O97" s="9"/>
      <c r="P97" s="9" t="s">
        <v>313</v>
      </c>
      <c r="Q97" s="9" t="s">
        <v>457</v>
      </c>
      <c r="R97" s="17" t="str">
        <f>IFERROR(INDEX('Ground Truth'!$G$2:$G$105,MATCH(A97,'Ground Truth'!$A$2:$A$105,0)),"")</f>
        <v>YES</v>
      </c>
      <c r="S97" s="17" t="str">
        <f>IFERROR(INDEX('Ground Truth'!$H$2:$H$105,MATCH(A97,'Ground Truth'!$A$2:$A$105,0)),"")</f>
        <v>executable</v>
      </c>
      <c r="T97" s="17">
        <f t="shared" si="8"/>
        <v>1</v>
      </c>
      <c r="U97" s="9" t="str">
        <f t="shared" si="9"/>
        <v>Compared with user-reviewed Ground Truth</v>
      </c>
      <c r="V97" s="17">
        <f t="shared" si="10"/>
        <v>1</v>
      </c>
      <c r="W97" s="17" t="str">
        <f t="shared" si="11"/>
        <v>TP</v>
      </c>
    </row>
    <row r="98" spans="1:23" ht="28.8" customHeight="1" x14ac:dyDescent="0.3">
      <c r="A98" s="9" t="s">
        <v>285</v>
      </c>
      <c r="B98" s="9" t="s">
        <v>241</v>
      </c>
      <c r="C98" s="9" t="s">
        <v>330</v>
      </c>
      <c r="D98" s="9" t="s">
        <v>331</v>
      </c>
      <c r="E98" s="9" t="s">
        <v>208</v>
      </c>
      <c r="F98" s="9" t="s">
        <v>209</v>
      </c>
      <c r="G98" s="9" t="s">
        <v>14</v>
      </c>
      <c r="H98" s="9" t="s">
        <v>15</v>
      </c>
      <c r="I98" s="9"/>
      <c r="J98" s="9" t="s">
        <v>312</v>
      </c>
      <c r="K98" s="9" t="s">
        <v>312</v>
      </c>
      <c r="L98" s="9" t="s">
        <v>312</v>
      </c>
      <c r="M98" s="9" t="s">
        <v>312</v>
      </c>
      <c r="N98" s="9"/>
      <c r="O98" s="9"/>
      <c r="P98" s="9" t="s">
        <v>313</v>
      </c>
      <c r="Q98" s="9" t="s">
        <v>457</v>
      </c>
      <c r="R98" s="17" t="str">
        <f>IFERROR(INDEX('Ground Truth'!$G$2:$G$105,MATCH(A98,'Ground Truth'!$A$2:$A$105,0)),"")</f>
        <v>YES</v>
      </c>
      <c r="S98" s="17" t="str">
        <f>IFERROR(INDEX('Ground Truth'!$H$2:$H$105,MATCH(A98,'Ground Truth'!$A$2:$A$105,0)),"")</f>
        <v>executable</v>
      </c>
      <c r="T98" s="17">
        <f t="shared" ref="T98:T105" si="12">IF(S98="","",--(S98=H98))</f>
        <v>1</v>
      </c>
      <c r="U98" s="9" t="str">
        <f t="shared" ref="U98:U105" si="13">IF(R98="","","Compared with user-reviewed Ground Truth")</f>
        <v>Compared with user-reviewed Ground Truth</v>
      </c>
      <c r="V98" s="17">
        <f t="shared" ref="V98:V105" si="14">IF(R98="","",--(R98=G98))</f>
        <v>1</v>
      </c>
      <c r="W98" s="17" t="str">
        <f t="shared" ref="W98:W105" si="15">IF(R98="","",IF(AND(R98="YES",G98="YES"),"TP",IF(AND(R98="NO",G98="NO"),"TN",IF(AND(R98="NO",G98="YES"),"FP",IF(AND(R98="YES",G98="NO"),"FN","CHECK")))))</f>
        <v>TP</v>
      </c>
    </row>
    <row r="99" spans="1:23" ht="28.8" customHeight="1" x14ac:dyDescent="0.3">
      <c r="A99" s="9" t="s">
        <v>286</v>
      </c>
      <c r="B99" s="9" t="s">
        <v>241</v>
      </c>
      <c r="C99" s="9" t="s">
        <v>330</v>
      </c>
      <c r="D99" s="9" t="s">
        <v>331</v>
      </c>
      <c r="E99" s="9" t="s">
        <v>213</v>
      </c>
      <c r="F99" s="9" t="s">
        <v>214</v>
      </c>
      <c r="G99" s="9" t="s">
        <v>14</v>
      </c>
      <c r="H99" s="9" t="s">
        <v>15</v>
      </c>
      <c r="I99" s="9"/>
      <c r="J99" s="9" t="s">
        <v>312</v>
      </c>
      <c r="K99" s="9" t="s">
        <v>312</v>
      </c>
      <c r="L99" s="9" t="s">
        <v>312</v>
      </c>
      <c r="M99" s="9" t="s">
        <v>312</v>
      </c>
      <c r="N99" s="9"/>
      <c r="O99" s="9"/>
      <c r="P99" s="9" t="s">
        <v>313</v>
      </c>
      <c r="Q99" s="9" t="s">
        <v>457</v>
      </c>
      <c r="R99" s="17" t="str">
        <f>IFERROR(INDEX('Ground Truth'!$G$2:$G$105,MATCH(A99,'Ground Truth'!$A$2:$A$105,0)),"")</f>
        <v>YES</v>
      </c>
      <c r="S99" s="17" t="str">
        <f>IFERROR(INDEX('Ground Truth'!$H$2:$H$105,MATCH(A99,'Ground Truth'!$A$2:$A$105,0)),"")</f>
        <v>executable</v>
      </c>
      <c r="T99" s="17">
        <f t="shared" si="12"/>
        <v>1</v>
      </c>
      <c r="U99" s="9" t="str">
        <f t="shared" si="13"/>
        <v>Compared with user-reviewed Ground Truth</v>
      </c>
      <c r="V99" s="17">
        <f t="shared" si="14"/>
        <v>1</v>
      </c>
      <c r="W99" s="17" t="str">
        <f t="shared" si="15"/>
        <v>TP</v>
      </c>
    </row>
    <row r="100" spans="1:23" ht="28.8" customHeight="1" x14ac:dyDescent="0.3">
      <c r="A100" s="9" t="s">
        <v>287</v>
      </c>
      <c r="B100" s="9" t="s">
        <v>241</v>
      </c>
      <c r="C100" s="9" t="s">
        <v>330</v>
      </c>
      <c r="D100" s="9" t="s">
        <v>331</v>
      </c>
      <c r="E100" s="9" t="s">
        <v>217</v>
      </c>
      <c r="F100" s="9" t="s">
        <v>218</v>
      </c>
      <c r="G100" s="9" t="s">
        <v>14</v>
      </c>
      <c r="H100" s="9" t="s">
        <v>15</v>
      </c>
      <c r="I100" s="9"/>
      <c r="J100" s="9" t="s">
        <v>312</v>
      </c>
      <c r="K100" s="9" t="s">
        <v>312</v>
      </c>
      <c r="L100" s="9" t="s">
        <v>312</v>
      </c>
      <c r="M100" s="9" t="s">
        <v>312</v>
      </c>
      <c r="N100" s="9"/>
      <c r="O100" s="9"/>
      <c r="P100" s="9" t="s">
        <v>313</v>
      </c>
      <c r="Q100" s="9" t="s">
        <v>457</v>
      </c>
      <c r="R100" s="17" t="str">
        <f>IFERROR(INDEX('Ground Truth'!$G$2:$G$105,MATCH(A100,'Ground Truth'!$A$2:$A$105,0)),"")</f>
        <v>YES</v>
      </c>
      <c r="S100" s="17" t="str">
        <f>IFERROR(INDEX('Ground Truth'!$H$2:$H$105,MATCH(A100,'Ground Truth'!$A$2:$A$105,0)),"")</f>
        <v>executable</v>
      </c>
      <c r="T100" s="17">
        <f t="shared" si="12"/>
        <v>1</v>
      </c>
      <c r="U100" s="9" t="str">
        <f t="shared" si="13"/>
        <v>Compared with user-reviewed Ground Truth</v>
      </c>
      <c r="V100" s="17">
        <f t="shared" si="14"/>
        <v>1</v>
      </c>
      <c r="W100" s="17" t="str">
        <f t="shared" si="15"/>
        <v>TP</v>
      </c>
    </row>
    <row r="101" spans="1:23" ht="28.8" customHeight="1" x14ac:dyDescent="0.3">
      <c r="A101" s="9" t="s">
        <v>288</v>
      </c>
      <c r="B101" s="9" t="s">
        <v>241</v>
      </c>
      <c r="C101" s="9" t="s">
        <v>330</v>
      </c>
      <c r="D101" s="9" t="s">
        <v>331</v>
      </c>
      <c r="E101" s="9" t="s">
        <v>221</v>
      </c>
      <c r="F101" s="9" t="s">
        <v>222</v>
      </c>
      <c r="G101" s="9" t="s">
        <v>14</v>
      </c>
      <c r="H101" s="9" t="s">
        <v>15</v>
      </c>
      <c r="I101" s="9"/>
      <c r="J101" s="9" t="s">
        <v>312</v>
      </c>
      <c r="K101" s="9" t="s">
        <v>312</v>
      </c>
      <c r="L101" s="9" t="s">
        <v>312</v>
      </c>
      <c r="M101" s="9" t="s">
        <v>312</v>
      </c>
      <c r="N101" s="9"/>
      <c r="O101" s="9"/>
      <c r="P101" s="9" t="s">
        <v>313</v>
      </c>
      <c r="Q101" s="9" t="s">
        <v>457</v>
      </c>
      <c r="R101" s="17" t="str">
        <f>IFERROR(INDEX('Ground Truth'!$G$2:$G$105,MATCH(A101,'Ground Truth'!$A$2:$A$105,0)),"")</f>
        <v>YES</v>
      </c>
      <c r="S101" s="17" t="str">
        <f>IFERROR(INDEX('Ground Truth'!$H$2:$H$105,MATCH(A101,'Ground Truth'!$A$2:$A$105,0)),"")</f>
        <v>executable</v>
      </c>
      <c r="T101" s="17">
        <f t="shared" si="12"/>
        <v>1</v>
      </c>
      <c r="U101" s="9" t="str">
        <f t="shared" si="13"/>
        <v>Compared with user-reviewed Ground Truth</v>
      </c>
      <c r="V101" s="17">
        <f t="shared" si="14"/>
        <v>1</v>
      </c>
      <c r="W101" s="17" t="str">
        <f t="shared" si="15"/>
        <v>TP</v>
      </c>
    </row>
    <row r="102" spans="1:23" ht="28.8" customHeight="1" x14ac:dyDescent="0.3">
      <c r="A102" s="9" t="s">
        <v>289</v>
      </c>
      <c r="B102" s="9" t="s">
        <v>241</v>
      </c>
      <c r="C102" s="9" t="s">
        <v>330</v>
      </c>
      <c r="D102" s="9" t="s">
        <v>331</v>
      </c>
      <c r="E102" s="9" t="s">
        <v>225</v>
      </c>
      <c r="F102" s="9" t="s">
        <v>226</v>
      </c>
      <c r="G102" s="9" t="s">
        <v>26</v>
      </c>
      <c r="H102" s="9" t="s">
        <v>64</v>
      </c>
      <c r="I102" s="9" t="s">
        <v>337</v>
      </c>
      <c r="J102" s="9" t="s">
        <v>312</v>
      </c>
      <c r="K102" s="9" t="s">
        <v>315</v>
      </c>
      <c r="L102" s="9" t="s">
        <v>312</v>
      </c>
      <c r="M102" s="9" t="s">
        <v>312</v>
      </c>
      <c r="N102" s="9" t="s">
        <v>335</v>
      </c>
      <c r="O102" s="9"/>
      <c r="P102" s="9" t="s">
        <v>313</v>
      </c>
      <c r="Q102" s="9" t="s">
        <v>457</v>
      </c>
      <c r="R102" s="17" t="str">
        <f>IFERROR(INDEX('Ground Truth'!$G$2:$G$105,MATCH(A102,'Ground Truth'!$A$2:$A$105,0)),"")</f>
        <v>NO</v>
      </c>
      <c r="S102" s="17" t="str">
        <f>IFERROR(INDEX('Ground Truth'!$H$2:$H$105,MATCH(A102,'Ground Truth'!$A$2:$A$105,0)),"")</f>
        <v>partial</v>
      </c>
      <c r="T102" s="17">
        <f t="shared" si="12"/>
        <v>1</v>
      </c>
      <c r="U102" s="9" t="str">
        <f t="shared" si="13"/>
        <v>Compared with user-reviewed Ground Truth</v>
      </c>
      <c r="V102" s="17">
        <f t="shared" si="14"/>
        <v>1</v>
      </c>
      <c r="W102" s="17" t="str">
        <f t="shared" si="15"/>
        <v>TN</v>
      </c>
    </row>
    <row r="103" spans="1:23" ht="28.8" customHeight="1" x14ac:dyDescent="0.3">
      <c r="A103" s="9" t="s">
        <v>290</v>
      </c>
      <c r="B103" s="9" t="s">
        <v>241</v>
      </c>
      <c r="C103" s="9" t="s">
        <v>330</v>
      </c>
      <c r="D103" s="9" t="s">
        <v>331</v>
      </c>
      <c r="E103" s="9" t="s">
        <v>229</v>
      </c>
      <c r="F103" s="9" t="s">
        <v>230</v>
      </c>
      <c r="G103" s="9" t="s">
        <v>14</v>
      </c>
      <c r="H103" s="9" t="s">
        <v>15</v>
      </c>
      <c r="I103" s="9"/>
      <c r="J103" s="9" t="s">
        <v>312</v>
      </c>
      <c r="K103" s="9" t="s">
        <v>312</v>
      </c>
      <c r="L103" s="9" t="s">
        <v>312</v>
      </c>
      <c r="M103" s="9" t="s">
        <v>312</v>
      </c>
      <c r="N103" s="9"/>
      <c r="O103" s="9"/>
      <c r="P103" s="9" t="s">
        <v>313</v>
      </c>
      <c r="Q103" s="9" t="s">
        <v>457</v>
      </c>
      <c r="R103" s="17" t="str">
        <f>IFERROR(INDEX('Ground Truth'!$G$2:$G$105,MATCH(A103,'Ground Truth'!$A$2:$A$105,0)),"")</f>
        <v>YES</v>
      </c>
      <c r="S103" s="17" t="str">
        <f>IFERROR(INDEX('Ground Truth'!$H$2:$H$105,MATCH(A103,'Ground Truth'!$A$2:$A$105,0)),"")</f>
        <v>executable</v>
      </c>
      <c r="T103" s="17">
        <f t="shared" si="12"/>
        <v>1</v>
      </c>
      <c r="U103" s="9" t="str">
        <f t="shared" si="13"/>
        <v>Compared with user-reviewed Ground Truth</v>
      </c>
      <c r="V103" s="17">
        <f t="shared" si="14"/>
        <v>1</v>
      </c>
      <c r="W103" s="17" t="str">
        <f t="shared" si="15"/>
        <v>TP</v>
      </c>
    </row>
    <row r="104" spans="1:23" ht="28.8" customHeight="1" x14ac:dyDescent="0.3">
      <c r="A104" s="9" t="s">
        <v>291</v>
      </c>
      <c r="B104" s="9" t="s">
        <v>241</v>
      </c>
      <c r="C104" s="9" t="s">
        <v>330</v>
      </c>
      <c r="D104" s="9" t="s">
        <v>331</v>
      </c>
      <c r="E104" s="9" t="s">
        <v>233</v>
      </c>
      <c r="F104" s="9" t="s">
        <v>234</v>
      </c>
      <c r="G104" s="9" t="s">
        <v>14</v>
      </c>
      <c r="H104" s="9" t="s">
        <v>15</v>
      </c>
      <c r="I104" s="9"/>
      <c r="J104" s="9" t="s">
        <v>312</v>
      </c>
      <c r="K104" s="9" t="s">
        <v>312</v>
      </c>
      <c r="L104" s="9" t="s">
        <v>312</v>
      </c>
      <c r="M104" s="9" t="s">
        <v>312</v>
      </c>
      <c r="N104" s="9"/>
      <c r="O104" s="9"/>
      <c r="P104" s="9" t="s">
        <v>313</v>
      </c>
      <c r="Q104" s="9" t="s">
        <v>457</v>
      </c>
      <c r="R104" s="17" t="str">
        <f>IFERROR(INDEX('Ground Truth'!$G$2:$G$105,MATCH(A104,'Ground Truth'!$A$2:$A$105,0)),"")</f>
        <v>YES</v>
      </c>
      <c r="S104" s="17" t="str">
        <f>IFERROR(INDEX('Ground Truth'!$H$2:$H$105,MATCH(A104,'Ground Truth'!$A$2:$A$105,0)),"")</f>
        <v>executable</v>
      </c>
      <c r="T104" s="17">
        <f t="shared" si="12"/>
        <v>1</v>
      </c>
      <c r="U104" s="9" t="str">
        <f t="shared" si="13"/>
        <v>Compared with user-reviewed Ground Truth</v>
      </c>
      <c r="V104" s="17">
        <f t="shared" si="14"/>
        <v>1</v>
      </c>
      <c r="W104" s="17" t="str">
        <f t="shared" si="15"/>
        <v>TP</v>
      </c>
    </row>
    <row r="105" spans="1:23" ht="28.8" customHeight="1" x14ac:dyDescent="0.3">
      <c r="A105" s="9" t="s">
        <v>292</v>
      </c>
      <c r="B105" s="9" t="s">
        <v>241</v>
      </c>
      <c r="C105" s="9" t="s">
        <v>330</v>
      </c>
      <c r="D105" s="9" t="s">
        <v>331</v>
      </c>
      <c r="E105" s="9" t="s">
        <v>237</v>
      </c>
      <c r="F105" s="9" t="s">
        <v>238</v>
      </c>
      <c r="G105" s="9" t="s">
        <v>14</v>
      </c>
      <c r="H105" s="9" t="s">
        <v>15</v>
      </c>
      <c r="I105" s="9"/>
      <c r="J105" s="9" t="s">
        <v>312</v>
      </c>
      <c r="K105" s="9" t="s">
        <v>312</v>
      </c>
      <c r="L105" s="9" t="s">
        <v>312</v>
      </c>
      <c r="M105" s="9" t="s">
        <v>312</v>
      </c>
      <c r="N105" s="9"/>
      <c r="O105" s="9"/>
      <c r="P105" s="9" t="s">
        <v>313</v>
      </c>
      <c r="Q105" s="9" t="s">
        <v>457</v>
      </c>
      <c r="R105" s="17" t="str">
        <f>IFERROR(INDEX('Ground Truth'!$G$2:$G$105,MATCH(A105,'Ground Truth'!$A$2:$A$105,0)),"")</f>
        <v>YES</v>
      </c>
      <c r="S105" s="17" t="str">
        <f>IFERROR(INDEX('Ground Truth'!$H$2:$H$105,MATCH(A105,'Ground Truth'!$A$2:$A$105,0)),"")</f>
        <v>executable</v>
      </c>
      <c r="T105" s="17">
        <f t="shared" si="12"/>
        <v>1</v>
      </c>
      <c r="U105" s="9" t="str">
        <f t="shared" si="13"/>
        <v>Compared with user-reviewed Ground Truth</v>
      </c>
      <c r="V105" s="17">
        <f t="shared" si="14"/>
        <v>1</v>
      </c>
      <c r="W105" s="17" t="str">
        <f t="shared" si="15"/>
        <v>TP</v>
      </c>
    </row>
  </sheetData>
  <autoFilter ref="A1:V10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8"/>
  <sheetViews>
    <sheetView workbookViewId="0">
      <pane ySplit="1" topLeftCell="A8" activePane="bottomLeft" state="frozen"/>
      <selection pane="bottomLeft" sqref="A1:XFD1"/>
    </sheetView>
  </sheetViews>
  <sheetFormatPr defaultRowHeight="14.4" x14ac:dyDescent="0.3"/>
  <cols>
    <col min="1" max="1" width="10" style="8" customWidth="1"/>
    <col min="2" max="2" width="18" style="8" customWidth="1"/>
    <col min="3" max="3" width="32" style="8" customWidth="1"/>
    <col min="4" max="4" width="28" style="8" customWidth="1"/>
    <col min="5" max="5" width="12" style="8" customWidth="1"/>
    <col min="6" max="6" width="36" style="8" customWidth="1"/>
    <col min="7" max="7" width="28" style="8" customWidth="1"/>
    <col min="8" max="8" width="36" style="8" customWidth="1"/>
    <col min="9" max="9" width="44" style="8" customWidth="1"/>
    <col min="10" max="10" width="8.88671875" style="8"/>
    <col min="11" max="11" width="10" style="8" customWidth="1"/>
    <col min="12" max="12" width="34" style="8" customWidth="1"/>
    <col min="13" max="13" width="20" style="8" customWidth="1"/>
    <col min="14" max="14" width="44" style="8" customWidth="1"/>
    <col min="15" max="16384" width="8.88671875" style="8"/>
  </cols>
  <sheetData>
    <row r="1" spans="1:14" s="23" customFormat="1" x14ac:dyDescent="0.3">
      <c r="A1" s="24" t="s">
        <v>1</v>
      </c>
      <c r="B1" s="24" t="s">
        <v>293</v>
      </c>
      <c r="C1" s="24" t="s">
        <v>294</v>
      </c>
      <c r="D1" s="24" t="s">
        <v>338</v>
      </c>
      <c r="E1" s="24" t="s">
        <v>339</v>
      </c>
      <c r="F1" s="24" t="s">
        <v>340</v>
      </c>
      <c r="G1" s="24" t="s">
        <v>341</v>
      </c>
      <c r="H1" s="24" t="s">
        <v>342</v>
      </c>
      <c r="I1" s="24" t="s">
        <v>343</v>
      </c>
      <c r="J1" s="25"/>
      <c r="K1" s="35" t="s">
        <v>344</v>
      </c>
      <c r="L1" s="36"/>
      <c r="M1" s="36"/>
      <c r="N1" s="37"/>
    </row>
    <row r="2" spans="1:14" x14ac:dyDescent="0.3">
      <c r="A2" s="14" t="s">
        <v>9</v>
      </c>
      <c r="B2" s="14" t="s">
        <v>310</v>
      </c>
      <c r="C2" s="14" t="s">
        <v>311</v>
      </c>
      <c r="D2" s="14" t="s">
        <v>333</v>
      </c>
      <c r="E2" s="15" t="s">
        <v>14</v>
      </c>
      <c r="F2" s="14" t="s">
        <v>345</v>
      </c>
      <c r="G2" s="14">
        <v>649</v>
      </c>
      <c r="H2" s="14" t="s">
        <v>346</v>
      </c>
      <c r="I2" s="14" t="s">
        <v>347</v>
      </c>
      <c r="J2" s="14"/>
      <c r="K2" s="1" t="s">
        <v>1</v>
      </c>
      <c r="L2" s="1" t="s">
        <v>348</v>
      </c>
      <c r="M2" s="1" t="s">
        <v>349</v>
      </c>
      <c r="N2" s="1" t="s">
        <v>350</v>
      </c>
    </row>
    <row r="3" spans="1:14" x14ac:dyDescent="0.3">
      <c r="A3" s="14" t="s">
        <v>9</v>
      </c>
      <c r="B3" s="14" t="s">
        <v>310</v>
      </c>
      <c r="C3" s="14" t="s">
        <v>311</v>
      </c>
      <c r="D3" s="14" t="s">
        <v>351</v>
      </c>
      <c r="E3" s="15" t="s">
        <v>14</v>
      </c>
      <c r="F3" s="14" t="s">
        <v>352</v>
      </c>
      <c r="G3" s="14">
        <v>1947</v>
      </c>
      <c r="H3" s="14" t="s">
        <v>353</v>
      </c>
      <c r="I3" s="14" t="s">
        <v>347</v>
      </c>
      <c r="J3" s="14"/>
      <c r="K3" s="14" t="s">
        <v>9</v>
      </c>
      <c r="L3" s="14" t="s">
        <v>354</v>
      </c>
      <c r="M3" s="14">
        <v>649</v>
      </c>
      <c r="N3" s="14" t="s">
        <v>355</v>
      </c>
    </row>
    <row r="4" spans="1:14" x14ac:dyDescent="0.3">
      <c r="A4" s="14" t="s">
        <v>9</v>
      </c>
      <c r="B4" s="14" t="s">
        <v>310</v>
      </c>
      <c r="C4" s="14" t="s">
        <v>311</v>
      </c>
      <c r="D4" s="14" t="s">
        <v>356</v>
      </c>
      <c r="E4" s="16" t="s">
        <v>26</v>
      </c>
      <c r="F4" s="14" t="s">
        <v>357</v>
      </c>
      <c r="G4" s="14">
        <v>0</v>
      </c>
      <c r="H4" s="14" t="s">
        <v>358</v>
      </c>
      <c r="I4" s="14" t="s">
        <v>359</v>
      </c>
      <c r="J4" s="14"/>
      <c r="K4" s="14" t="s">
        <v>9</v>
      </c>
      <c r="L4" s="14" t="s">
        <v>360</v>
      </c>
      <c r="M4" s="14">
        <v>649</v>
      </c>
      <c r="N4" s="14" t="s">
        <v>355</v>
      </c>
    </row>
    <row r="5" spans="1:14" x14ac:dyDescent="0.3">
      <c r="A5" s="14" t="s">
        <v>9</v>
      </c>
      <c r="B5" s="14" t="s">
        <v>310</v>
      </c>
      <c r="C5" s="14" t="s">
        <v>311</v>
      </c>
      <c r="D5" s="14" t="s">
        <v>361</v>
      </c>
      <c r="E5" s="15" t="s">
        <v>14</v>
      </c>
      <c r="F5" s="14" t="s">
        <v>362</v>
      </c>
      <c r="G5" s="14">
        <v>649</v>
      </c>
      <c r="H5" s="14" t="s">
        <v>363</v>
      </c>
      <c r="I5" s="14" t="s">
        <v>347</v>
      </c>
      <c r="J5" s="14"/>
      <c r="K5" s="14" t="s">
        <v>9</v>
      </c>
      <c r="L5" s="14" t="s">
        <v>364</v>
      </c>
      <c r="M5" s="14">
        <v>3</v>
      </c>
      <c r="N5" s="14" t="s">
        <v>355</v>
      </c>
    </row>
    <row r="6" spans="1:14" x14ac:dyDescent="0.3">
      <c r="A6" s="14" t="s">
        <v>9</v>
      </c>
      <c r="B6" s="14" t="s">
        <v>310</v>
      </c>
      <c r="C6" s="14" t="s">
        <v>311</v>
      </c>
      <c r="D6" s="14" t="s">
        <v>365</v>
      </c>
      <c r="E6" s="16" t="s">
        <v>26</v>
      </c>
      <c r="F6" s="14" t="s">
        <v>366</v>
      </c>
      <c r="G6" s="14">
        <v>0</v>
      </c>
      <c r="H6" s="14" t="s">
        <v>459</v>
      </c>
      <c r="I6" s="14" t="s">
        <v>359</v>
      </c>
      <c r="J6" s="14"/>
      <c r="K6" s="14" t="s">
        <v>9</v>
      </c>
      <c r="L6" s="14" t="s">
        <v>367</v>
      </c>
      <c r="M6" s="14">
        <v>1947</v>
      </c>
      <c r="N6" s="14" t="s">
        <v>355</v>
      </c>
    </row>
    <row r="7" spans="1:14" x14ac:dyDescent="0.3">
      <c r="A7" s="14" t="s">
        <v>9</v>
      </c>
      <c r="B7" s="14" t="s">
        <v>310</v>
      </c>
      <c r="C7" s="14" t="s">
        <v>311</v>
      </c>
      <c r="D7" s="14" t="s">
        <v>316</v>
      </c>
      <c r="E7" s="16" t="s">
        <v>26</v>
      </c>
      <c r="F7" s="14" t="s">
        <v>368</v>
      </c>
      <c r="G7" s="14">
        <v>0</v>
      </c>
      <c r="H7" s="14" t="s">
        <v>369</v>
      </c>
      <c r="I7" s="14" t="s">
        <v>359</v>
      </c>
      <c r="J7" s="14"/>
      <c r="K7" s="14" t="s">
        <v>9</v>
      </c>
      <c r="L7" s="14" t="s">
        <v>352</v>
      </c>
      <c r="M7" s="14">
        <v>1947</v>
      </c>
      <c r="N7" s="14" t="s">
        <v>355</v>
      </c>
    </row>
    <row r="8" spans="1:14" x14ac:dyDescent="0.3">
      <c r="A8" s="14" t="s">
        <v>9</v>
      </c>
      <c r="B8" s="14" t="s">
        <v>310</v>
      </c>
      <c r="C8" s="14" t="s">
        <v>311</v>
      </c>
      <c r="D8" s="14" t="s">
        <v>336</v>
      </c>
      <c r="E8" s="15" t="s">
        <v>14</v>
      </c>
      <c r="F8" s="14" t="s">
        <v>370</v>
      </c>
      <c r="G8" s="14">
        <v>649</v>
      </c>
      <c r="H8" s="14" t="s">
        <v>371</v>
      </c>
      <c r="I8" s="14" t="s">
        <v>347</v>
      </c>
      <c r="J8" s="14"/>
      <c r="K8" s="14" t="s">
        <v>9</v>
      </c>
      <c r="L8" s="14" t="s">
        <v>372</v>
      </c>
      <c r="M8" s="14">
        <v>649</v>
      </c>
      <c r="N8" s="14" t="s">
        <v>355</v>
      </c>
    </row>
    <row r="9" spans="1:14" x14ac:dyDescent="0.3">
      <c r="A9" s="14" t="s">
        <v>9</v>
      </c>
      <c r="B9" s="14" t="s">
        <v>310</v>
      </c>
      <c r="C9" s="14" t="s">
        <v>311</v>
      </c>
      <c r="D9" s="14" t="s">
        <v>373</v>
      </c>
      <c r="E9" s="15" t="s">
        <v>14</v>
      </c>
      <c r="F9" s="14" t="s">
        <v>372</v>
      </c>
      <c r="G9" s="14">
        <v>649</v>
      </c>
      <c r="H9" s="14" t="s">
        <v>374</v>
      </c>
      <c r="I9" s="14" t="s">
        <v>347</v>
      </c>
      <c r="J9" s="14"/>
      <c r="K9" s="14" t="s">
        <v>9</v>
      </c>
      <c r="L9" s="14" t="s">
        <v>375</v>
      </c>
      <c r="M9" s="14">
        <v>0</v>
      </c>
      <c r="N9" s="14" t="s">
        <v>355</v>
      </c>
    </row>
    <row r="10" spans="1:14" x14ac:dyDescent="0.3">
      <c r="A10" s="14" t="s">
        <v>9</v>
      </c>
      <c r="B10" s="14" t="s">
        <v>310</v>
      </c>
      <c r="C10" s="14" t="s">
        <v>311</v>
      </c>
      <c r="D10" s="14" t="s">
        <v>335</v>
      </c>
      <c r="E10" s="15" t="s">
        <v>14</v>
      </c>
      <c r="F10" s="14" t="s">
        <v>376</v>
      </c>
      <c r="G10" s="14">
        <v>649</v>
      </c>
      <c r="H10" s="14" t="s">
        <v>377</v>
      </c>
      <c r="I10" s="14" t="s">
        <v>347</v>
      </c>
      <c r="J10" s="14"/>
      <c r="K10" s="14" t="s">
        <v>9</v>
      </c>
      <c r="L10" s="14" t="s">
        <v>378</v>
      </c>
      <c r="M10" s="14">
        <v>0</v>
      </c>
      <c r="N10" s="14" t="s">
        <v>355</v>
      </c>
    </row>
    <row r="11" spans="1:14" x14ac:dyDescent="0.3">
      <c r="A11" s="14" t="s">
        <v>9</v>
      </c>
      <c r="B11" s="14" t="s">
        <v>310</v>
      </c>
      <c r="C11" s="14" t="s">
        <v>311</v>
      </c>
      <c r="D11" s="14" t="s">
        <v>379</v>
      </c>
      <c r="E11" s="15" t="s">
        <v>14</v>
      </c>
      <c r="F11" s="14" t="s">
        <v>360</v>
      </c>
      <c r="G11" s="14">
        <v>649</v>
      </c>
      <c r="H11" s="14" t="s">
        <v>380</v>
      </c>
      <c r="I11" s="14" t="s">
        <v>347</v>
      </c>
      <c r="J11" s="14"/>
      <c r="K11" s="14" t="s">
        <v>9</v>
      </c>
      <c r="L11" s="14" t="s">
        <v>368</v>
      </c>
      <c r="M11" s="14">
        <v>0</v>
      </c>
      <c r="N11" s="14" t="s">
        <v>355</v>
      </c>
    </row>
    <row r="12" spans="1:14" x14ac:dyDescent="0.3">
      <c r="A12" s="14" t="s">
        <v>9</v>
      </c>
      <c r="B12" s="14" t="s">
        <v>310</v>
      </c>
      <c r="C12" s="14" t="s">
        <v>311</v>
      </c>
      <c r="D12" s="14" t="s">
        <v>381</v>
      </c>
      <c r="E12" s="15" t="s">
        <v>14</v>
      </c>
      <c r="F12" s="14" t="s">
        <v>382</v>
      </c>
      <c r="G12" s="14">
        <v>3</v>
      </c>
      <c r="H12" s="14" t="s">
        <v>383</v>
      </c>
      <c r="I12" s="14" t="s">
        <v>347</v>
      </c>
      <c r="J12" s="14"/>
      <c r="K12" s="14" t="s">
        <v>9</v>
      </c>
      <c r="L12" s="14" t="s">
        <v>384</v>
      </c>
      <c r="M12" s="14">
        <v>0</v>
      </c>
      <c r="N12" s="14" t="s">
        <v>355</v>
      </c>
    </row>
    <row r="13" spans="1:14" x14ac:dyDescent="0.3">
      <c r="A13" s="14" t="s">
        <v>9</v>
      </c>
      <c r="B13" s="14" t="s">
        <v>310</v>
      </c>
      <c r="C13" s="14" t="s">
        <v>311</v>
      </c>
      <c r="D13" s="14" t="s">
        <v>325</v>
      </c>
      <c r="E13" s="16" t="s">
        <v>26</v>
      </c>
      <c r="F13" s="14" t="s">
        <v>385</v>
      </c>
      <c r="G13" s="14">
        <v>0</v>
      </c>
      <c r="H13" s="14" t="s">
        <v>386</v>
      </c>
      <c r="I13" s="14" t="s">
        <v>359</v>
      </c>
      <c r="J13" s="14"/>
      <c r="K13" s="14" t="s">
        <v>9</v>
      </c>
      <c r="L13" s="14" t="s">
        <v>387</v>
      </c>
      <c r="M13" s="14">
        <v>0</v>
      </c>
      <c r="N13" s="14" t="s">
        <v>355</v>
      </c>
    </row>
    <row r="14" spans="1:14" ht="28.8" customHeight="1" x14ac:dyDescent="0.3">
      <c r="A14" s="14" t="s">
        <v>9</v>
      </c>
      <c r="B14" s="14" t="s">
        <v>310</v>
      </c>
      <c r="C14" s="14" t="s">
        <v>311</v>
      </c>
      <c r="D14" s="14" t="s">
        <v>388</v>
      </c>
      <c r="E14" s="16" t="s">
        <v>26</v>
      </c>
      <c r="F14" s="14" t="s">
        <v>387</v>
      </c>
      <c r="G14" s="14">
        <v>0</v>
      </c>
      <c r="H14" s="14" t="s">
        <v>460</v>
      </c>
      <c r="I14" s="14" t="s">
        <v>359</v>
      </c>
      <c r="J14" s="14"/>
      <c r="K14" s="14" t="s">
        <v>9</v>
      </c>
      <c r="L14" s="14" t="s">
        <v>345</v>
      </c>
      <c r="M14" s="14">
        <v>649</v>
      </c>
      <c r="N14" s="14" t="s">
        <v>355</v>
      </c>
    </row>
    <row r="15" spans="1:14" x14ac:dyDescent="0.3">
      <c r="A15" s="14" t="s">
        <v>9</v>
      </c>
      <c r="B15" s="14" t="s">
        <v>310</v>
      </c>
      <c r="C15" s="14" t="s">
        <v>311</v>
      </c>
      <c r="D15" s="14" t="s">
        <v>389</v>
      </c>
      <c r="E15" s="16" t="s">
        <v>26</v>
      </c>
      <c r="F15" s="14" t="s">
        <v>390</v>
      </c>
      <c r="G15" s="14">
        <v>0</v>
      </c>
      <c r="H15" s="14" t="s">
        <v>391</v>
      </c>
      <c r="I15" s="14" t="s">
        <v>359</v>
      </c>
      <c r="J15" s="14"/>
      <c r="K15" s="14" t="s">
        <v>9</v>
      </c>
      <c r="L15" s="14" t="s">
        <v>392</v>
      </c>
      <c r="M15" s="14">
        <v>649</v>
      </c>
      <c r="N15" s="14" t="s">
        <v>355</v>
      </c>
    </row>
    <row r="16" spans="1:14" x14ac:dyDescent="0.3">
      <c r="A16" s="14" t="s">
        <v>9</v>
      </c>
      <c r="B16" s="14" t="s">
        <v>310</v>
      </c>
      <c r="C16" s="14" t="s">
        <v>311</v>
      </c>
      <c r="D16" s="14" t="s">
        <v>393</v>
      </c>
      <c r="E16" s="15" t="s">
        <v>14</v>
      </c>
      <c r="F16" s="14" t="s">
        <v>392</v>
      </c>
      <c r="G16" s="14">
        <v>649</v>
      </c>
      <c r="H16" s="14" t="s">
        <v>394</v>
      </c>
      <c r="I16" s="14" t="s">
        <v>347</v>
      </c>
      <c r="J16" s="14"/>
      <c r="K16" s="14" t="s">
        <v>9</v>
      </c>
      <c r="L16" s="14" t="s">
        <v>376</v>
      </c>
      <c r="M16" s="14">
        <v>649</v>
      </c>
      <c r="N16" s="14" t="s">
        <v>355</v>
      </c>
    </row>
    <row r="17" spans="1:14" x14ac:dyDescent="0.3">
      <c r="A17" s="14" t="s">
        <v>9</v>
      </c>
      <c r="B17" s="14" t="s">
        <v>310</v>
      </c>
      <c r="C17" s="14" t="s">
        <v>311</v>
      </c>
      <c r="D17" s="14" t="s">
        <v>395</v>
      </c>
      <c r="E17" s="15" t="s">
        <v>14</v>
      </c>
      <c r="F17" s="14" t="s">
        <v>367</v>
      </c>
      <c r="G17" s="14">
        <v>1947</v>
      </c>
      <c r="H17" s="14" t="s">
        <v>396</v>
      </c>
      <c r="I17" s="14" t="s">
        <v>347</v>
      </c>
      <c r="J17" s="14"/>
      <c r="K17" s="14" t="s">
        <v>9</v>
      </c>
      <c r="L17" s="14" t="s">
        <v>370</v>
      </c>
      <c r="M17" s="14">
        <v>649</v>
      </c>
      <c r="N17" s="14" t="s">
        <v>355</v>
      </c>
    </row>
    <row r="18" spans="1:14" ht="28.8" customHeight="1" x14ac:dyDescent="0.3">
      <c r="A18" s="14" t="s">
        <v>9</v>
      </c>
      <c r="B18" s="14" t="s">
        <v>310</v>
      </c>
      <c r="C18" s="14" t="s">
        <v>311</v>
      </c>
      <c r="D18" s="14" t="s">
        <v>322</v>
      </c>
      <c r="E18" s="16" t="s">
        <v>26</v>
      </c>
      <c r="F18" s="14" t="s">
        <v>397</v>
      </c>
      <c r="G18" s="14" t="s">
        <v>398</v>
      </c>
      <c r="H18" s="14" t="s">
        <v>399</v>
      </c>
      <c r="I18" s="14" t="s">
        <v>359</v>
      </c>
      <c r="J18" s="14"/>
      <c r="K18" s="14" t="s">
        <v>9</v>
      </c>
      <c r="L18" s="14" t="s">
        <v>390</v>
      </c>
      <c r="M18" s="14">
        <v>0</v>
      </c>
      <c r="N18" s="14" t="s">
        <v>355</v>
      </c>
    </row>
    <row r="19" spans="1:14" ht="28.8" customHeight="1" x14ac:dyDescent="0.3">
      <c r="A19" s="14" t="s">
        <v>9</v>
      </c>
      <c r="B19" s="14" t="s">
        <v>310</v>
      </c>
      <c r="C19" s="14" t="s">
        <v>311</v>
      </c>
      <c r="D19" s="14" t="s">
        <v>400</v>
      </c>
      <c r="E19" s="16" t="s">
        <v>26</v>
      </c>
      <c r="F19" s="14" t="s">
        <v>401</v>
      </c>
      <c r="G19" s="14" t="s">
        <v>402</v>
      </c>
      <c r="H19" s="14" t="s">
        <v>461</v>
      </c>
      <c r="I19" s="14" t="s">
        <v>359</v>
      </c>
      <c r="J19" s="14"/>
      <c r="K19" s="14" t="s">
        <v>9</v>
      </c>
      <c r="L19" s="14" t="s">
        <v>366</v>
      </c>
      <c r="M19" s="14">
        <v>0</v>
      </c>
      <c r="N19" s="14" t="s">
        <v>355</v>
      </c>
    </row>
    <row r="20" spans="1:14" x14ac:dyDescent="0.3">
      <c r="A20" s="14" t="s">
        <v>241</v>
      </c>
      <c r="B20" s="14" t="s">
        <v>330</v>
      </c>
      <c r="C20" s="14" t="s">
        <v>331</v>
      </c>
      <c r="D20" s="14" t="s">
        <v>333</v>
      </c>
      <c r="E20" s="16" t="s">
        <v>26</v>
      </c>
      <c r="F20" s="14" t="s">
        <v>345</v>
      </c>
      <c r="G20" s="14">
        <v>0</v>
      </c>
      <c r="H20" s="14" t="s">
        <v>346</v>
      </c>
      <c r="I20" s="14" t="s">
        <v>359</v>
      </c>
      <c r="J20" s="14"/>
      <c r="K20" s="14" t="s">
        <v>9</v>
      </c>
      <c r="L20" s="14" t="s">
        <v>385</v>
      </c>
      <c r="M20" s="14">
        <v>0</v>
      </c>
      <c r="N20" s="14" t="s">
        <v>355</v>
      </c>
    </row>
    <row r="21" spans="1:14" x14ac:dyDescent="0.3">
      <c r="A21" s="14" t="s">
        <v>241</v>
      </c>
      <c r="B21" s="14" t="s">
        <v>330</v>
      </c>
      <c r="C21" s="14" t="s">
        <v>331</v>
      </c>
      <c r="D21" s="14" t="s">
        <v>351</v>
      </c>
      <c r="E21" s="15" t="s">
        <v>14</v>
      </c>
      <c r="F21" s="14" t="s">
        <v>352</v>
      </c>
      <c r="G21" s="14">
        <v>11445</v>
      </c>
      <c r="H21" s="14" t="s">
        <v>353</v>
      </c>
      <c r="I21" s="14" t="s">
        <v>347</v>
      </c>
      <c r="J21" s="14"/>
      <c r="K21" s="14" t="s">
        <v>241</v>
      </c>
      <c r="L21" s="14" t="s">
        <v>354</v>
      </c>
      <c r="M21" s="14">
        <v>2498</v>
      </c>
      <c r="N21" s="14" t="s">
        <v>355</v>
      </c>
    </row>
    <row r="22" spans="1:14" x14ac:dyDescent="0.3">
      <c r="A22" s="14" t="s">
        <v>241</v>
      </c>
      <c r="B22" s="14" t="s">
        <v>330</v>
      </c>
      <c r="C22" s="14" t="s">
        <v>331</v>
      </c>
      <c r="D22" s="14" t="s">
        <v>356</v>
      </c>
      <c r="E22" s="16" t="s">
        <v>26</v>
      </c>
      <c r="F22" s="14" t="s">
        <v>357</v>
      </c>
      <c r="G22" s="14">
        <v>0</v>
      </c>
      <c r="H22" s="14" t="s">
        <v>358</v>
      </c>
      <c r="I22" s="14" t="s">
        <v>359</v>
      </c>
      <c r="J22" s="14"/>
      <c r="K22" s="14" t="s">
        <v>241</v>
      </c>
      <c r="L22" s="14" t="s">
        <v>360</v>
      </c>
      <c r="M22" s="14">
        <v>2498</v>
      </c>
      <c r="N22" s="14" t="s">
        <v>355</v>
      </c>
    </row>
    <row r="23" spans="1:14" x14ac:dyDescent="0.3">
      <c r="A23" s="14" t="s">
        <v>241</v>
      </c>
      <c r="B23" s="14" t="s">
        <v>330</v>
      </c>
      <c r="C23" s="14" t="s">
        <v>331</v>
      </c>
      <c r="D23" s="14" t="s">
        <v>361</v>
      </c>
      <c r="E23" s="15" t="s">
        <v>14</v>
      </c>
      <c r="F23" s="14" t="s">
        <v>362</v>
      </c>
      <c r="G23" s="14">
        <v>2498</v>
      </c>
      <c r="H23" s="14" t="s">
        <v>363</v>
      </c>
      <c r="I23" s="14" t="s">
        <v>347</v>
      </c>
      <c r="J23" s="14"/>
      <c r="K23" s="14" t="s">
        <v>241</v>
      </c>
      <c r="L23" s="14" t="s">
        <v>364</v>
      </c>
      <c r="M23" s="14">
        <v>10</v>
      </c>
      <c r="N23" s="14" t="s">
        <v>355</v>
      </c>
    </row>
    <row r="24" spans="1:14" x14ac:dyDescent="0.3">
      <c r="A24" s="14" t="s">
        <v>241</v>
      </c>
      <c r="B24" s="14" t="s">
        <v>330</v>
      </c>
      <c r="C24" s="14" t="s">
        <v>331</v>
      </c>
      <c r="D24" s="14" t="s">
        <v>365</v>
      </c>
      <c r="E24" s="15" t="s">
        <v>14</v>
      </c>
      <c r="F24" s="14" t="s">
        <v>366</v>
      </c>
      <c r="G24" s="14">
        <v>2360</v>
      </c>
      <c r="H24" s="14" t="s">
        <v>459</v>
      </c>
      <c r="I24" s="14" t="s">
        <v>347</v>
      </c>
      <c r="J24" s="14"/>
      <c r="K24" s="14" t="s">
        <v>241</v>
      </c>
      <c r="L24" s="14" t="s">
        <v>367</v>
      </c>
      <c r="M24" s="14">
        <v>11451</v>
      </c>
      <c r="N24" s="14" t="s">
        <v>355</v>
      </c>
    </row>
    <row r="25" spans="1:14" x14ac:dyDescent="0.3">
      <c r="A25" s="14" t="s">
        <v>241</v>
      </c>
      <c r="B25" s="14" t="s">
        <v>330</v>
      </c>
      <c r="C25" s="14" t="s">
        <v>331</v>
      </c>
      <c r="D25" s="14" t="s">
        <v>316</v>
      </c>
      <c r="E25" s="15" t="s">
        <v>14</v>
      </c>
      <c r="F25" s="14" t="s">
        <v>368</v>
      </c>
      <c r="G25" s="14">
        <v>515832</v>
      </c>
      <c r="H25" s="14" t="s">
        <v>369</v>
      </c>
      <c r="I25" s="14" t="s">
        <v>347</v>
      </c>
      <c r="J25" s="14"/>
      <c r="K25" s="14" t="s">
        <v>241</v>
      </c>
      <c r="L25" s="14" t="s">
        <v>352</v>
      </c>
      <c r="M25" s="14">
        <v>11445</v>
      </c>
      <c r="N25" s="14" t="s">
        <v>355</v>
      </c>
    </row>
    <row r="26" spans="1:14" x14ac:dyDescent="0.3">
      <c r="A26" s="14" t="s">
        <v>241</v>
      </c>
      <c r="B26" s="14" t="s">
        <v>330</v>
      </c>
      <c r="C26" s="14" t="s">
        <v>331</v>
      </c>
      <c r="D26" s="14" t="s">
        <v>336</v>
      </c>
      <c r="E26" s="16" t="s">
        <v>26</v>
      </c>
      <c r="F26" s="14" t="s">
        <v>370</v>
      </c>
      <c r="G26" s="14">
        <v>0</v>
      </c>
      <c r="H26" s="14" t="s">
        <v>371</v>
      </c>
      <c r="I26" s="14" t="s">
        <v>359</v>
      </c>
      <c r="J26" s="14"/>
      <c r="K26" s="14" t="s">
        <v>241</v>
      </c>
      <c r="L26" s="14" t="s">
        <v>372</v>
      </c>
      <c r="M26" s="14">
        <v>2498</v>
      </c>
      <c r="N26" s="14" t="s">
        <v>355</v>
      </c>
    </row>
    <row r="27" spans="1:14" x14ac:dyDescent="0.3">
      <c r="A27" s="14" t="s">
        <v>241</v>
      </c>
      <c r="B27" s="14" t="s">
        <v>330</v>
      </c>
      <c r="C27" s="14" t="s">
        <v>331</v>
      </c>
      <c r="D27" s="14" t="s">
        <v>373</v>
      </c>
      <c r="E27" s="15" t="s">
        <v>14</v>
      </c>
      <c r="F27" s="14" t="s">
        <v>372</v>
      </c>
      <c r="G27" s="14">
        <v>2498</v>
      </c>
      <c r="H27" s="14" t="s">
        <v>374</v>
      </c>
      <c r="I27" s="14" t="s">
        <v>347</v>
      </c>
      <c r="J27" s="14"/>
      <c r="K27" s="14" t="s">
        <v>241</v>
      </c>
      <c r="L27" s="14" t="s">
        <v>375</v>
      </c>
      <c r="M27" s="14">
        <v>11451</v>
      </c>
      <c r="N27" s="14" t="s">
        <v>355</v>
      </c>
    </row>
    <row r="28" spans="1:14" x14ac:dyDescent="0.3">
      <c r="A28" s="14" t="s">
        <v>241</v>
      </c>
      <c r="B28" s="14" t="s">
        <v>330</v>
      </c>
      <c r="C28" s="14" t="s">
        <v>331</v>
      </c>
      <c r="D28" s="14" t="s">
        <v>335</v>
      </c>
      <c r="E28" s="16" t="s">
        <v>26</v>
      </c>
      <c r="F28" s="14" t="s">
        <v>376</v>
      </c>
      <c r="G28" s="14">
        <v>0</v>
      </c>
      <c r="H28" s="14" t="s">
        <v>377</v>
      </c>
      <c r="I28" s="14" t="s">
        <v>359</v>
      </c>
      <c r="J28" s="14"/>
      <c r="K28" s="14" t="s">
        <v>241</v>
      </c>
      <c r="L28" s="14" t="s">
        <v>378</v>
      </c>
      <c r="M28" s="14">
        <v>515832</v>
      </c>
      <c r="N28" s="14" t="s">
        <v>355</v>
      </c>
    </row>
    <row r="29" spans="1:14" x14ac:dyDescent="0.3">
      <c r="A29" s="14" t="s">
        <v>241</v>
      </c>
      <c r="B29" s="14" t="s">
        <v>330</v>
      </c>
      <c r="C29" s="14" t="s">
        <v>331</v>
      </c>
      <c r="D29" s="14" t="s">
        <v>379</v>
      </c>
      <c r="E29" s="15" t="s">
        <v>14</v>
      </c>
      <c r="F29" s="14" t="s">
        <v>360</v>
      </c>
      <c r="G29" s="14">
        <v>2498</v>
      </c>
      <c r="H29" s="14" t="s">
        <v>380</v>
      </c>
      <c r="I29" s="14" t="s">
        <v>347</v>
      </c>
      <c r="J29" s="14"/>
      <c r="K29" s="14" t="s">
        <v>241</v>
      </c>
      <c r="L29" s="14" t="s">
        <v>368</v>
      </c>
      <c r="M29" s="14">
        <v>515832</v>
      </c>
      <c r="N29" s="14" t="s">
        <v>355</v>
      </c>
    </row>
    <row r="30" spans="1:14" x14ac:dyDescent="0.3">
      <c r="A30" s="14" t="s">
        <v>241</v>
      </c>
      <c r="B30" s="14" t="s">
        <v>330</v>
      </c>
      <c r="C30" s="14" t="s">
        <v>331</v>
      </c>
      <c r="D30" s="14" t="s">
        <v>381</v>
      </c>
      <c r="E30" s="15" t="s">
        <v>14</v>
      </c>
      <c r="F30" s="14" t="s">
        <v>382</v>
      </c>
      <c r="G30" s="14">
        <v>10</v>
      </c>
      <c r="H30" s="14" t="s">
        <v>383</v>
      </c>
      <c r="I30" s="14" t="s">
        <v>347</v>
      </c>
      <c r="J30" s="14"/>
      <c r="K30" s="14" t="s">
        <v>241</v>
      </c>
      <c r="L30" s="14" t="s">
        <v>384</v>
      </c>
      <c r="M30" s="14">
        <v>42</v>
      </c>
      <c r="N30" s="14" t="s">
        <v>355</v>
      </c>
    </row>
    <row r="31" spans="1:14" x14ac:dyDescent="0.3">
      <c r="A31" s="14" t="s">
        <v>241</v>
      </c>
      <c r="B31" s="14" t="s">
        <v>330</v>
      </c>
      <c r="C31" s="14" t="s">
        <v>331</v>
      </c>
      <c r="D31" s="14" t="s">
        <v>325</v>
      </c>
      <c r="E31" s="15" t="s">
        <v>14</v>
      </c>
      <c r="F31" s="14" t="s">
        <v>385</v>
      </c>
      <c r="G31" s="14">
        <v>2482</v>
      </c>
      <c r="H31" s="14" t="s">
        <v>386</v>
      </c>
      <c r="I31" s="14" t="s">
        <v>347</v>
      </c>
      <c r="J31" s="14"/>
      <c r="K31" s="14" t="s">
        <v>241</v>
      </c>
      <c r="L31" s="14" t="s">
        <v>387</v>
      </c>
      <c r="M31" s="14">
        <v>223</v>
      </c>
      <c r="N31" s="14" t="s">
        <v>355</v>
      </c>
    </row>
    <row r="32" spans="1:14" ht="28.8" customHeight="1" x14ac:dyDescent="0.3">
      <c r="A32" s="14" t="s">
        <v>241</v>
      </c>
      <c r="B32" s="14" t="s">
        <v>330</v>
      </c>
      <c r="C32" s="14" t="s">
        <v>331</v>
      </c>
      <c r="D32" s="14" t="s">
        <v>388</v>
      </c>
      <c r="E32" s="15" t="s">
        <v>14</v>
      </c>
      <c r="F32" s="14" t="s">
        <v>387</v>
      </c>
      <c r="G32" s="14">
        <v>223</v>
      </c>
      <c r="H32" s="14" t="s">
        <v>460</v>
      </c>
      <c r="I32" s="14" t="s">
        <v>347</v>
      </c>
      <c r="J32" s="14"/>
      <c r="K32" s="14" t="s">
        <v>241</v>
      </c>
      <c r="L32" s="14" t="s">
        <v>345</v>
      </c>
      <c r="M32" s="14">
        <v>0</v>
      </c>
      <c r="N32" s="14" t="s">
        <v>355</v>
      </c>
    </row>
    <row r="33" spans="1:14" x14ac:dyDescent="0.3">
      <c r="A33" s="14" t="s">
        <v>241</v>
      </c>
      <c r="B33" s="14" t="s">
        <v>330</v>
      </c>
      <c r="C33" s="14" t="s">
        <v>331</v>
      </c>
      <c r="D33" s="14" t="s">
        <v>389</v>
      </c>
      <c r="E33" s="15" t="s">
        <v>14</v>
      </c>
      <c r="F33" s="14" t="s">
        <v>390</v>
      </c>
      <c r="G33" s="14">
        <v>2498</v>
      </c>
      <c r="H33" s="14" t="s">
        <v>391</v>
      </c>
      <c r="I33" s="14" t="s">
        <v>347</v>
      </c>
      <c r="J33" s="14"/>
      <c r="K33" s="14" t="s">
        <v>241</v>
      </c>
      <c r="L33" s="14" t="s">
        <v>392</v>
      </c>
      <c r="M33" s="14">
        <v>0</v>
      </c>
      <c r="N33" s="14" t="s">
        <v>355</v>
      </c>
    </row>
    <row r="34" spans="1:14" x14ac:dyDescent="0.3">
      <c r="A34" s="14" t="s">
        <v>241</v>
      </c>
      <c r="B34" s="14" t="s">
        <v>330</v>
      </c>
      <c r="C34" s="14" t="s">
        <v>331</v>
      </c>
      <c r="D34" s="14" t="s">
        <v>393</v>
      </c>
      <c r="E34" s="16" t="s">
        <v>26</v>
      </c>
      <c r="F34" s="14" t="s">
        <v>392</v>
      </c>
      <c r="G34" s="14">
        <v>0</v>
      </c>
      <c r="H34" s="14" t="s">
        <v>394</v>
      </c>
      <c r="I34" s="14" t="s">
        <v>359</v>
      </c>
      <c r="J34" s="14"/>
      <c r="K34" s="14" t="s">
        <v>241</v>
      </c>
      <c r="L34" s="14" t="s">
        <v>376</v>
      </c>
      <c r="M34" s="14">
        <v>0</v>
      </c>
      <c r="N34" s="14" t="s">
        <v>355</v>
      </c>
    </row>
    <row r="35" spans="1:14" x14ac:dyDescent="0.3">
      <c r="A35" s="14" t="s">
        <v>241</v>
      </c>
      <c r="B35" s="14" t="s">
        <v>330</v>
      </c>
      <c r="C35" s="14" t="s">
        <v>331</v>
      </c>
      <c r="D35" s="14" t="s">
        <v>395</v>
      </c>
      <c r="E35" s="15" t="s">
        <v>14</v>
      </c>
      <c r="F35" s="14" t="s">
        <v>367</v>
      </c>
      <c r="G35" s="14">
        <v>11451</v>
      </c>
      <c r="H35" s="14" t="s">
        <v>396</v>
      </c>
      <c r="I35" s="14" t="s">
        <v>347</v>
      </c>
      <c r="J35" s="14"/>
      <c r="K35" s="14" t="s">
        <v>241</v>
      </c>
      <c r="L35" s="14" t="s">
        <v>370</v>
      </c>
      <c r="M35" s="14">
        <v>0</v>
      </c>
      <c r="N35" s="14" t="s">
        <v>355</v>
      </c>
    </row>
    <row r="36" spans="1:14" ht="28.8" customHeight="1" x14ac:dyDescent="0.3">
      <c r="A36" s="14" t="s">
        <v>241</v>
      </c>
      <c r="B36" s="14" t="s">
        <v>330</v>
      </c>
      <c r="C36" s="14" t="s">
        <v>331</v>
      </c>
      <c r="D36" s="14" t="s">
        <v>322</v>
      </c>
      <c r="E36" s="15" t="s">
        <v>14</v>
      </c>
      <c r="F36" s="14" t="s">
        <v>397</v>
      </c>
      <c r="G36" s="14" t="s">
        <v>403</v>
      </c>
      <c r="H36" s="14" t="s">
        <v>399</v>
      </c>
      <c r="I36" s="14" t="s">
        <v>347</v>
      </c>
      <c r="J36" s="14"/>
      <c r="K36" s="14" t="s">
        <v>241</v>
      </c>
      <c r="L36" s="14" t="s">
        <v>390</v>
      </c>
      <c r="M36" s="14">
        <v>2498</v>
      </c>
      <c r="N36" s="14" t="s">
        <v>355</v>
      </c>
    </row>
    <row r="37" spans="1:14" ht="28.8" customHeight="1" x14ac:dyDescent="0.3">
      <c r="A37" s="14" t="s">
        <v>241</v>
      </c>
      <c r="B37" s="14" t="s">
        <v>330</v>
      </c>
      <c r="C37" s="14" t="s">
        <v>331</v>
      </c>
      <c r="D37" s="14" t="s">
        <v>400</v>
      </c>
      <c r="E37" s="15" t="s">
        <v>14</v>
      </c>
      <c r="F37" s="14" t="s">
        <v>401</v>
      </c>
      <c r="G37" s="14" t="s">
        <v>404</v>
      </c>
      <c r="H37" s="14" t="s">
        <v>461</v>
      </c>
      <c r="I37" s="14" t="s">
        <v>347</v>
      </c>
      <c r="J37" s="14"/>
      <c r="K37" s="14" t="s">
        <v>241</v>
      </c>
      <c r="L37" s="14" t="s">
        <v>366</v>
      </c>
      <c r="M37" s="14">
        <v>2360</v>
      </c>
      <c r="N37" s="14" t="s">
        <v>355</v>
      </c>
    </row>
    <row r="38" spans="1:14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 t="s">
        <v>241</v>
      </c>
      <c r="L38" s="14" t="s">
        <v>385</v>
      </c>
      <c r="M38" s="14">
        <v>2482</v>
      </c>
      <c r="N38" s="14" t="s">
        <v>355</v>
      </c>
    </row>
  </sheetData>
  <autoFilter ref="A1:I38" xr:uid="{00000000-0009-0000-0000-000002000000}"/>
  <mergeCells count="1">
    <mergeCell ref="K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topLeftCell="A4" workbookViewId="0">
      <selection activeCell="C20" sqref="C20"/>
    </sheetView>
  </sheetViews>
  <sheetFormatPr defaultRowHeight="14.4" x14ac:dyDescent="0.3"/>
  <cols>
    <col min="1" max="1" width="25" style="8" customWidth="1"/>
    <col min="2" max="2" width="20" style="8" customWidth="1"/>
    <col min="3" max="3" width="38.33203125" style="8" customWidth="1"/>
    <col min="4" max="4" width="15" style="8" customWidth="1"/>
    <col min="5" max="5" width="18" style="8" customWidth="1"/>
    <col min="6" max="6" width="15" style="8" customWidth="1"/>
    <col min="7" max="16384" width="8.88671875" style="8"/>
  </cols>
  <sheetData>
    <row r="1" spans="1:6" ht="21" customHeight="1" x14ac:dyDescent="0.3">
      <c r="A1" s="40" t="s">
        <v>405</v>
      </c>
      <c r="B1" s="39"/>
      <c r="C1" s="39"/>
      <c r="D1" s="39"/>
      <c r="E1" s="39"/>
      <c r="F1" s="39"/>
    </row>
    <row r="2" spans="1:6" x14ac:dyDescent="0.3">
      <c r="A2" s="38" t="s">
        <v>406</v>
      </c>
      <c r="B2" s="39"/>
      <c r="C2" s="39"/>
      <c r="D2" s="39"/>
      <c r="E2" s="39"/>
      <c r="F2" s="39"/>
    </row>
    <row r="3" spans="1:6" x14ac:dyDescent="0.3">
      <c r="A3" s="19"/>
    </row>
    <row r="4" spans="1:6" s="27" customFormat="1" x14ac:dyDescent="0.3">
      <c r="A4" s="30" t="s">
        <v>407</v>
      </c>
      <c r="B4" s="30" t="s">
        <v>408</v>
      </c>
      <c r="C4" s="30" t="s">
        <v>409</v>
      </c>
    </row>
    <row r="5" spans="1:6" x14ac:dyDescent="0.3">
      <c r="A5" s="28" t="s">
        <v>410</v>
      </c>
      <c r="B5" s="2">
        <f>COUNTA('Machine Results'!A2:A105)</f>
        <v>104</v>
      </c>
      <c r="C5" s="2" t="s">
        <v>454</v>
      </c>
    </row>
    <row r="6" spans="1:6" x14ac:dyDescent="0.3">
      <c r="A6" s="28" t="s">
        <v>411</v>
      </c>
      <c r="B6" s="2">
        <f>COUNTIF('Machine Results'!W2:W105,"TP")</f>
        <v>68</v>
      </c>
      <c r="C6" s="2" t="s">
        <v>412</v>
      </c>
    </row>
    <row r="7" spans="1:6" x14ac:dyDescent="0.3">
      <c r="A7" s="28" t="s">
        <v>413</v>
      </c>
      <c r="B7" s="2">
        <f>COUNTIF('Machine Results'!W2:W105,"TN")</f>
        <v>36</v>
      </c>
      <c r="C7" s="2" t="s">
        <v>414</v>
      </c>
    </row>
    <row r="8" spans="1:6" x14ac:dyDescent="0.3">
      <c r="A8" s="28" t="s">
        <v>415</v>
      </c>
      <c r="B8" s="2">
        <f>COUNTIF('Machine Results'!W2:W105,"FP")</f>
        <v>0</v>
      </c>
      <c r="C8" s="2" t="s">
        <v>416</v>
      </c>
    </row>
    <row r="9" spans="1:6" x14ac:dyDescent="0.3">
      <c r="A9" s="28" t="s">
        <v>417</v>
      </c>
      <c r="B9" s="2">
        <f>COUNTIF('Machine Results'!W2:W105,"FN")</f>
        <v>0</v>
      </c>
      <c r="C9" s="2" t="s">
        <v>418</v>
      </c>
    </row>
    <row r="10" spans="1:6" x14ac:dyDescent="0.3">
      <c r="A10" s="28" t="s">
        <v>419</v>
      </c>
      <c r="B10" s="29">
        <f>IF(B5=0,"",(B6+B7)/B5)</f>
        <v>1</v>
      </c>
      <c r="C10" s="2" t="s">
        <v>420</v>
      </c>
    </row>
    <row r="11" spans="1:6" x14ac:dyDescent="0.3">
      <c r="A11" s="28" t="s">
        <v>421</v>
      </c>
      <c r="B11" s="29">
        <f>IF((B6+B8)=0,"",B6/(B6+B8))</f>
        <v>1</v>
      </c>
      <c r="C11" s="2" t="s">
        <v>422</v>
      </c>
    </row>
    <row r="12" spans="1:6" x14ac:dyDescent="0.3">
      <c r="A12" s="28" t="s">
        <v>423</v>
      </c>
      <c r="B12" s="29">
        <f>IF((B6+B9)=0,"",B6/(B6+B9))</f>
        <v>1</v>
      </c>
      <c r="C12" s="2" t="s">
        <v>424</v>
      </c>
    </row>
    <row r="13" spans="1:6" x14ac:dyDescent="0.3">
      <c r="A13" s="28" t="s">
        <v>425</v>
      </c>
      <c r="B13" s="29">
        <f>IF((B11+B12)=0,"",2*B11*B12/(B11+B12))</f>
        <v>1</v>
      </c>
      <c r="C13" s="2" t="s">
        <v>455</v>
      </c>
    </row>
    <row r="14" spans="1:6" x14ac:dyDescent="0.3">
      <c r="A14" s="28" t="s">
        <v>426</v>
      </c>
      <c r="B14" s="2">
        <f>COUNTIF('Machine Results'!T2:T105,1)</f>
        <v>104</v>
      </c>
      <c r="C14" s="2" t="s">
        <v>427</v>
      </c>
    </row>
    <row r="15" spans="1:6" x14ac:dyDescent="0.3">
      <c r="A15" s="28" t="s">
        <v>428</v>
      </c>
      <c r="B15" s="29">
        <f>IF(B5=0,"",B14/B5)</f>
        <v>1</v>
      </c>
      <c r="C15" s="2" t="s">
        <v>429</v>
      </c>
    </row>
    <row r="18" spans="1:6" ht="17.399999999999999" customHeight="1" x14ac:dyDescent="0.3">
      <c r="A18" s="20" t="s">
        <v>430</v>
      </c>
    </row>
    <row r="19" spans="1:6" s="27" customFormat="1" x14ac:dyDescent="0.3">
      <c r="A19" s="33" t="s">
        <v>431</v>
      </c>
      <c r="B19" s="33" t="s">
        <v>432</v>
      </c>
      <c r="C19" s="33" t="s">
        <v>433</v>
      </c>
      <c r="D19" s="33" t="s">
        <v>434</v>
      </c>
      <c r="E19" s="33" t="s">
        <v>435</v>
      </c>
      <c r="F19" s="33" t="s">
        <v>436</v>
      </c>
    </row>
    <row r="20" spans="1:6" x14ac:dyDescent="0.3">
      <c r="A20" s="31" t="s">
        <v>9</v>
      </c>
      <c r="B20" s="32">
        <f>COUNTIF('Machine Results'!B:B,A20)</f>
        <v>52</v>
      </c>
      <c r="C20" s="32">
        <f>COUNTIFS('Machine Results'!B:B,A20,'Machine Results'!H:H,"executable")</f>
        <v>24</v>
      </c>
      <c r="D20" s="32">
        <f>COUNTIFS('Machine Results'!B:B,A20,'Machine Results'!H:H,"partial")</f>
        <v>6</v>
      </c>
      <c r="E20" s="32">
        <f>COUNTIFS('Machine Results'!B:B,A20,'Machine Results'!H:H,"insufficient_data")</f>
        <v>22</v>
      </c>
      <c r="F20" s="32">
        <f>COUNTIFS('Machine Results'!B:B,A20,'Machine Results'!H:H,"unsupported")</f>
        <v>0</v>
      </c>
    </row>
    <row r="21" spans="1:6" x14ac:dyDescent="0.3">
      <c r="A21" s="31" t="s">
        <v>241</v>
      </c>
      <c r="B21" s="32">
        <f>COUNTIF('Machine Results'!B:B,A21)</f>
        <v>52</v>
      </c>
      <c r="C21" s="32">
        <f>COUNTIFS('Machine Results'!B:B,A21,'Machine Results'!H:H,"executable")</f>
        <v>44</v>
      </c>
      <c r="D21" s="32">
        <f>COUNTIFS('Machine Results'!B:B,A21,'Machine Results'!H:H,"partial")</f>
        <v>8</v>
      </c>
      <c r="E21" s="32">
        <f>COUNTIFS('Machine Results'!B:B,A21,'Machine Results'!H:H,"insufficient_data")</f>
        <v>0</v>
      </c>
      <c r="F21" s="32">
        <f>COUNTIFS('Machine Results'!B:B,A21,'Machine Results'!H:H,"unsupported")</f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tabSelected="1" topLeftCell="A10" workbookViewId="0">
      <selection activeCell="B18" sqref="B18"/>
    </sheetView>
  </sheetViews>
  <sheetFormatPr defaultRowHeight="14.4" x14ac:dyDescent="0.3"/>
  <cols>
    <col min="1" max="1" width="24" customWidth="1"/>
    <col min="2" max="2" width="100" customWidth="1"/>
  </cols>
  <sheetData>
    <row r="1" spans="1:2" x14ac:dyDescent="0.3">
      <c r="A1" s="26" t="s">
        <v>437</v>
      </c>
      <c r="B1" s="26" t="s">
        <v>438</v>
      </c>
    </row>
    <row r="2" spans="1:2" ht="40.200000000000003" customHeight="1" x14ac:dyDescent="0.3">
      <c r="A2" s="34" t="s">
        <v>439</v>
      </c>
      <c r="B2" s="2" t="s">
        <v>440</v>
      </c>
    </row>
    <row r="3" spans="1:2" ht="23.4" customHeight="1" x14ac:dyDescent="0.3">
      <c r="A3" s="34" t="s">
        <v>441</v>
      </c>
      <c r="B3" s="2" t="s">
        <v>442</v>
      </c>
    </row>
    <row r="4" spans="1:2" ht="28.2" customHeight="1" x14ac:dyDescent="0.3">
      <c r="A4" s="34" t="s">
        <v>443</v>
      </c>
      <c r="B4" s="2" t="s">
        <v>444</v>
      </c>
    </row>
    <row r="5" spans="1:2" ht="42" customHeight="1" x14ac:dyDescent="0.3">
      <c r="A5" s="34" t="s">
        <v>445</v>
      </c>
      <c r="B5" s="2" t="s">
        <v>446</v>
      </c>
    </row>
    <row r="6" spans="1:2" ht="31.2" customHeight="1" x14ac:dyDescent="0.3">
      <c r="A6" s="34" t="s">
        <v>447</v>
      </c>
      <c r="B6" s="2" t="s">
        <v>448</v>
      </c>
    </row>
    <row r="7" spans="1:2" ht="32.4" customHeight="1" x14ac:dyDescent="0.3">
      <c r="A7" s="34" t="s">
        <v>449</v>
      </c>
      <c r="B7" s="2" t="s">
        <v>462</v>
      </c>
    </row>
    <row r="8" spans="1:2" ht="27.6" customHeight="1" x14ac:dyDescent="0.3">
      <c r="A8" s="34" t="s">
        <v>450</v>
      </c>
      <c r="B8" s="2" t="s">
        <v>463</v>
      </c>
    </row>
    <row r="9" spans="1:2" ht="42.6" customHeight="1" x14ac:dyDescent="0.3">
      <c r="A9" s="34" t="s">
        <v>451</v>
      </c>
      <c r="B9" s="2" t="s">
        <v>458</v>
      </c>
    </row>
    <row r="10" spans="1:2" ht="41.4" customHeight="1" x14ac:dyDescent="0.3">
      <c r="A10" s="34" t="s">
        <v>452</v>
      </c>
      <c r="B10" s="2" t="s">
        <v>453</v>
      </c>
    </row>
    <row r="11" spans="1:2" ht="28.8" customHeight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Ground Truth</vt:lpstr>
      <vt:lpstr>Machine Results</vt:lpstr>
      <vt:lpstr>Capability Check</vt:lpstr>
      <vt:lpstr>Evaluation Summary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Bảo Nguyễn</cp:lastModifiedBy>
  <dcterms:created xsi:type="dcterms:W3CDTF">2026-06-18T16:13:50Z</dcterms:created>
  <dcterms:modified xsi:type="dcterms:W3CDTF">2026-06-19T04:37:10Z</dcterms:modified>
</cp:coreProperties>
</file>