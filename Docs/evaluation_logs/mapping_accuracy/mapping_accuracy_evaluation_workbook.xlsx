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a7bc870d9a7496c" /></Relationships>
</file>

<file path=xl/workbook.xml><?xml version="1.0" encoding="utf-8"?>
<x:workbook xmlns:x="http://schemas.openxmlformats.org/spreadsheetml/2006/main">
  <x:sheets>
    <x:sheet xmlns:r="http://schemas.openxmlformats.org/officeDocument/2006/relationships" name="Summary" sheetId="1" r:id="R07e2cc7c4d4c4fbb"/>
    <x:sheet xmlns:r="http://schemas.openxmlformats.org/officeDocument/2006/relationships" name="Field Results" sheetId="2" r:id="R1d72c4d94a59482a"/>
    <x:sheet xmlns:r="http://schemas.openxmlformats.org/officeDocument/2006/relationships" name="Methodology" sheetId="3" r:id="Ra2c81b25ae594dd7"/>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
    <x:numFmt numFmtId="201" formatCode="0.00%"/>
    <x:numFmt numFmtId="202" formatCode="0"/>
  </x:numFmts>
  <x:fonts count="12">
    <x:font>
      <x:sz val="11"/>
      <x:name val="Carlito"/>
    </x:font>
    <x:font>
      <x:b/>
      <x:sz val="11"/>
      <x:color rgb="FFFFFFFF"/>
      <x:name val="Carlito"/>
    </x:font>
    <x:font>
      <x:b/>
      <x:sz val="10"/>
      <x:color rgb="FFFFFFFF"/>
      <x:name val="Aptos"/>
    </x:font>
    <x:font>
      <x:sz val="10"/>
      <x:name val="Aptos"/>
    </x:font>
    <x:font>
      <x:b/>
      <x:sz val="20"/>
      <x:color rgb="FFFFFFFF"/>
      <x:name val="Carlito"/>
    </x:font>
    <x:font>
      <x:i/>
      <x:sz val="11"/>
      <x:color rgb="FF274C69"/>
      <x:name val="Carlito"/>
    </x:font>
    <x:font>
      <x:sz val="11"/>
      <x:name val="Aptos"/>
    </x:font>
    <x:font>
      <x:b/>
      <x:sz val="11"/>
      <x:color rgb="FF123B5D"/>
      <x:name val="Aptos"/>
    </x:font>
    <x:font>
      <x:b/>
      <x:sz val="13"/>
      <x:color rgb="FFFFFFFF"/>
      <x:name val="Carlito"/>
    </x:font>
    <x:font>
      <x:sz val="11"/>
      <x:color rgb="FF20384A"/>
      <x:name val="Carlito"/>
    </x:font>
    <x:font>
      <x:sz val="11"/>
      <x:color rgb="FF23463A"/>
      <x:name val="Carlito"/>
    </x:font>
    <x:font>
      <x:b/>
      <x:sz val="18"/>
      <x:color rgb="FFFFFFFF"/>
      <x:name val="Carlito"/>
    </x:font>
  </x:fonts>
  <x:fills count="11">
    <x:fill>
      <x:patternFill patternType="none"/>
    </x:fill>
    <x:fill>
      <x:patternFill patternType="gray125"/>
    </x:fill>
    <x:fill>
      <x:patternFill patternType="solid">
        <x:fgColor rgb="FF123B5D"/>
      </x:patternFill>
    </x:fill>
    <x:fill>
      <x:patternFill patternType="solid">
        <x:fgColor rgb="FFF1FAF5"/>
      </x:patternFill>
    </x:fill>
    <x:fill>
      <x:patternFill patternType="solid">
        <x:fgColor rgb="FFEEF4FA"/>
      </x:patternFill>
    </x:fill>
    <x:fill>
      <x:patternFill patternType="solid">
        <x:fgColor rgb="FFFFF7DF"/>
      </x:patternFill>
    </x:fill>
    <x:fill>
      <x:patternFill patternType="solid">
        <x:fgColor rgb="FFFFE8E8"/>
      </x:patternFill>
    </x:fill>
    <x:fill>
      <x:patternFill patternType="solid">
        <x:fgColor rgb="FFDCEAF5"/>
      </x:patternFill>
    </x:fill>
    <x:fill>
      <x:patternFill patternType="solid">
        <x:fgColor rgb="FF2F6F8F"/>
      </x:patternFill>
    </x:fill>
    <x:fill>
      <x:patternFill patternType="solid">
        <x:fgColor rgb="FFF3F7FA"/>
      </x:patternFill>
    </x:fill>
    <x:fill>
      <x:patternFill patternType="solid">
        <x:fgColor rgb="FFEAF6F1"/>
      </x:patternFill>
    </x:fill>
  </x:fills>
  <x:borders count="1">
    <x:border/>
  </x:borders>
  <x:cellStyleXfs count="1">
    <x:xf numFmtId="0" fontId="0" fillId="0" borderId="0"/>
  </x:cellStyleXfs>
  <x:cellXfs count="5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2" fillId="2" borderId="0" xfId="0" applyNumberFormat="1" applyFont="1" applyFill="1" applyBorder="1" applyAlignment="1">
      <x:alignment horizontal="center" vertical="center" wrapText="1"/>
    </x:xf>
    <x:xf numFmtId="0" fontId="3" fillId="0" borderId="0" xfId="0" applyNumberFormat="1" applyFont="1" applyFill="1" applyBorder="1"/>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200" fontId="3" fillId="0"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200" fontId="3"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200" fontId="3"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200" fontId="3"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200" fontId="3" fillId="6" borderId="0" xfId="0" applyNumberFormat="1" applyFont="1" applyFill="1" applyBorder="1" applyAlignment="1">
      <x:alignment vertical="top" wrapText="1"/>
    </x:xf>
    <x:xf numFmtId="0" fontId="4" fillId="2" borderId="0" xfId="0" applyNumberFormat="1" applyFont="1" applyFill="1" applyBorder="1"/>
    <x:xf numFmtId="0" fontId="4" fillId="2" borderId="0" xfId="0" applyNumberFormat="1" applyFont="1" applyFill="1" applyBorder="1" applyAlignment="1">
      <x:alignment horizontal="left"/>
    </x:xf>
    <x:xf numFmtId="0" fontId="4" fillId="2" borderId="0" xfId="0" applyNumberFormat="1" applyFont="1" applyFill="1" applyBorder="1" applyAlignment="1">
      <x:alignment horizontal="left" vertical="center"/>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vertical="center"/>
    </x:xf>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wrapText="1"/>
    </x:xf>
    <x:xf numFmtId="0" fontId="1" fillId="8" borderId="0" xfId="0" applyNumberFormat="1" applyFont="1" applyFill="1" applyBorder="1" applyAlignment="1">
      <x:alignment horizontal="center" wrapText="1"/>
    </x:xf>
    <x:xf numFmtId="0" fontId="1" fillId="8" borderId="0" xfId="0" applyNumberFormat="1" applyFont="1" applyFill="1" applyBorder="1" applyAlignment="1">
      <x:alignment horizontal="center" vertical="center" wrapText="1"/>
    </x:xf>
    <x:xf numFmtId="0" fontId="6" fillId="0" borderId="0" xfId="0" applyNumberFormat="1" applyFont="1" applyFill="1" applyBorder="1"/>
    <x:xf numFmtId="0" fontId="6" fillId="0" borderId="0" xfId="0" applyNumberFormat="1" applyFont="1" applyFill="1" applyBorder="1" applyAlignment="1">
      <x:alignment vertical="center"/>
    </x:xf>
    <x:xf numFmtId="0" fontId="6" fillId="7" borderId="0" xfId="0" applyNumberFormat="1" applyFont="1" applyFill="1" applyBorder="1" applyAlignment="1">
      <x:alignment vertical="center"/>
    </x:xf>
    <x:xf numFmtId="0" fontId="7" fillId="7" borderId="0" xfId="0" applyNumberFormat="1" applyFont="1" applyFill="1" applyBorder="1" applyAlignment="1">
      <x:alignment vertical="center"/>
    </x:xf>
    <x:xf numFmtId="201" fontId="6" fillId="0" borderId="0" xfId="0" applyNumberFormat="1" applyFont="1" applyFill="1" applyBorder="1" applyAlignment="1">
      <x:alignment vertical="center"/>
    </x:xf>
    <x:xf numFmtId="201" fontId="7" fillId="7" borderId="0" xfId="0" applyNumberFormat="1" applyFont="1" applyFill="1" applyBorder="1" applyAlignment="1">
      <x:alignment vertical="center"/>
    </x:xf>
    <x:xf numFmtId="202" fontId="6" fillId="0" borderId="0" xfId="0" applyNumberFormat="1" applyFont="1" applyFill="1" applyBorder="1" applyAlignment="1">
      <x:alignment vertical="center"/>
    </x:xf>
    <x:xf numFmtId="202" fontId="7" fillId="7" borderId="0" xfId="0" applyNumberFormat="1" applyFont="1" applyFill="1" applyBorder="1" applyAlignment="1">
      <x:alignment vertical="center"/>
    </x:xf>
    <x:xf numFmtId="0" fontId="8" fillId="2" borderId="0" xfId="0" applyNumberFormat="1" applyFont="1" applyFill="1" applyBorder="1"/>
    <x:xf numFmtId="0" fontId="0" fillId="9" borderId="0" xfId="0" applyNumberFormat="1" applyFont="1" applyFill="1" applyBorder="1"/>
    <x:xf numFmtId="0" fontId="9" fillId="9" borderId="0" xfId="0" applyNumberFormat="1" applyFont="1" applyFill="1" applyBorder="1"/>
    <x:xf numFmtId="0" fontId="9" fillId="9" borderId="0" xfId="0" applyNumberFormat="1" applyFont="1" applyFill="1" applyBorder="1" applyAlignment="1">
      <x:alignment wrapText="1"/>
    </x:xf>
    <x:xf numFmtId="0" fontId="9" fillId="9" borderId="0" xfId="0" applyNumberFormat="1" applyFont="1" applyFill="1" applyBorder="1" applyAlignment="1">
      <x:alignment vertical="top" wrapText="1"/>
    </x:xf>
    <x:xf numFmtId="0" fontId="8" fillId="8" borderId="0" xfId="0" applyNumberFormat="1" applyFont="1" applyFill="1" applyBorder="1"/>
    <x:xf numFmtId="0" fontId="0" fillId="10" borderId="0" xfId="0" applyNumberFormat="1" applyFont="1" applyFill="1" applyBorder="1"/>
    <x:xf numFmtId="0" fontId="10" fillId="10" borderId="0" xfId="0" applyNumberFormat="1" applyFont="1" applyFill="1" applyBorder="1"/>
    <x:xf numFmtId="0" fontId="10" fillId="10" borderId="0" xfId="0" applyNumberFormat="1" applyFont="1" applyFill="1" applyBorder="1" applyAlignment="1">
      <x:alignment wrapText="1"/>
    </x:xf>
    <x:xf numFmtId="0" fontId="10" fillId="10" borderId="0" xfId="0" applyNumberFormat="1" applyFont="1" applyFill="1" applyBorder="1" applyAlignment="1">
      <x:alignment vertical="top" wrapText="1"/>
    </x:xf>
    <x:xf numFmtId="0" fontId="11" fillId="2" borderId="0" xfId="0" applyNumberFormat="1" applyFont="1" applyFill="1" applyBorder="1"/>
    <x:xf numFmtId="0" fontId="11" fillId="2" borderId="0"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08ac18cf560412f" /><Relationship Type="http://schemas.openxmlformats.org/officeDocument/2006/relationships/theme" Target="/xl/theme/theme1.xml" Id="R900f5705c7774eeb" /><Relationship Type="http://schemas.openxmlformats.org/officeDocument/2006/relationships/sharedStrings" Target="/xl/sharedStrings.xml" Id="R694e8887d5644f0c" /><Relationship Type="http://schemas.openxmlformats.org/officeDocument/2006/relationships/worksheet" Target="/xl/worksheets/sheet1.xml" Id="R07e2cc7c4d4c4fbb" /><Relationship Type="http://schemas.openxmlformats.org/officeDocument/2006/relationships/worksheet" Target="/xl/worksheets/sheet2.xml" Id="R1d72c4d94a59482a" /><Relationship Type="http://schemas.openxmlformats.org/officeDocument/2006/relationships/worksheet" Target="/xl/worksheets/sheet3.xml" Id="Ra2c81b25ae594dd7" /></Relationships>
</file>

<file path=xl/drawings/_rels/drawing1.xml.rels>&#65279;<?xml version="1.0" encoding="utf-8"?><Relationships xmlns="http://schemas.openxmlformats.org/package/2006/relationships"><Relationship Type="http://schemas.openxmlformats.org/officeDocument/2006/relationships/chart" Target="/xl/drawings/charts/chart1.xml" Id="R287b45584c18405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Mapping outcomes by dataset</a:t>
            </a:r>
          </a:p>
        </c:rich>
      </c:tx>
      <c:overlay val="0"/>
    </c:title>
    <c:autoTitleDeleted val="0"/>
    <c:plotArea>
      <c:layout/>
      <c:barChart>
        <c:barDir val="col"/>
        <c:grouping val="clustered"/>
        <c:varyColors val="0"/>
        <c:ser>
          <c:idx val="0"/>
          <c:order val="0"/>
          <c:tx>
            <c:v>Total fields</c:v>
          </c:tx>
          <c:dLbls>
            <c:showLegendKey val="0"/>
            <c:showVal val="0"/>
            <c:showCatName val="0"/>
            <c:showSerName val="0"/>
            <c:showPercent val="0"/>
            <c:showBubbleSize val="0"/>
            <c:showLeaderLines val="0"/>
          </c:dLbls>
          <c:cat>
            <c:strRef>
              <c:f>'Summary'!$A$6:$A$7</c:f>
              <c:strCache>
                <c:ptCount val="0"/>
              </c:strCache>
            </c:strRef>
          </c:cat>
          <c:val>
            <c:numRef>
              <c:f>'Summary'!$B$6:$B$7</c:f>
              <c:numCache>
                <c:formatCode>0</c:formatCode>
                <c:ptCount val="0"/>
              </c:numCache>
            </c:numRef>
          </c:val>
        </c:ser>
        <c:ser>
          <c:idx val="1"/>
          <c:order val="1"/>
          <c:tx>
            <c:v>Mappable</c:v>
          </c:tx>
          <c:dLbls>
            <c:showLegendKey val="0"/>
            <c:showVal val="0"/>
            <c:showCatName val="0"/>
            <c:showSerName val="0"/>
            <c:showPercent val="0"/>
            <c:showBubbleSize val="0"/>
            <c:showLeaderLines val="0"/>
          </c:dLbls>
          <c:cat>
            <c:strRef>
              <c:f>'Summary'!$A$6:$A$7</c:f>
              <c:strCache>
                <c:ptCount val="0"/>
              </c:strCache>
            </c:strRef>
          </c:cat>
          <c:val>
            <c:numRef>
              <c:f>'Summary'!$C$6:$C$7</c:f>
              <c:numCache>
                <c:formatCode>0</c:formatCode>
                <c:ptCount val="0"/>
              </c:numCache>
            </c:numRef>
          </c:val>
        </c:ser>
        <c:ser>
          <c:idx val="2"/>
          <c:order val="2"/>
          <c:tx>
            <c:v>Exact</c:v>
          </c:tx>
          <c:dLbls>
            <c:showLegendKey val="0"/>
            <c:showVal val="0"/>
            <c:showCatName val="0"/>
            <c:showSerName val="0"/>
            <c:showPercent val="0"/>
            <c:showBubbleSize val="0"/>
            <c:showLeaderLines val="0"/>
          </c:dLbls>
          <c:cat>
            <c:strRef>
              <c:f>'Summary'!$A$6:$A$7</c:f>
              <c:strCache>
                <c:ptCount val="0"/>
              </c:strCache>
            </c:strRef>
          </c:cat>
          <c:val>
            <c:numRef>
              <c:f>'Summary'!$D$6:$D$7</c:f>
              <c:numCache>
                <c:formatCode>0</c:formatCode>
                <c:ptCount val="0"/>
              </c:numCache>
            </c:numRef>
          </c:val>
        </c:ser>
        <c:ser>
          <c:idx val="3"/>
          <c:order val="3"/>
          <c:tx>
            <c:v>Near-correct</c:v>
          </c:tx>
          <c:dLbls>
            <c:showLegendKey val="0"/>
            <c:showVal val="0"/>
            <c:showCatName val="0"/>
            <c:showSerName val="0"/>
            <c:showPercent val="0"/>
            <c:showBubbleSize val="0"/>
            <c:showLeaderLines val="0"/>
          </c:dLbls>
          <c:cat>
            <c:strRef>
              <c:f>'Summary'!$A$6:$A$7</c:f>
              <c:strCache>
                <c:ptCount val="0"/>
              </c:strCache>
            </c:strRef>
          </c:cat>
          <c:val>
            <c:numRef>
              <c:f>'Summary'!$E$6:$E$7</c:f>
              <c:numCache>
                <c:formatCode>0</c:formatCode>
                <c:ptCount val="0"/>
              </c:numCache>
            </c:numRef>
          </c:val>
        </c:ser>
        <c:ser>
          <c:idx val="4"/>
          <c:order val="4"/>
          <c:tx>
            <c:v>Wrong</c:v>
          </c:tx>
          <c:dLbls>
            <c:showLegendKey val="0"/>
            <c:showVal val="0"/>
            <c:showCatName val="0"/>
            <c:showSerName val="0"/>
            <c:showPercent val="0"/>
            <c:showBubbleSize val="0"/>
            <c:showLeaderLines val="0"/>
          </c:dLbls>
          <c:cat>
            <c:strRef>
              <c:f>'Summary'!$A$6:$A$7</c:f>
              <c:strCache>
                <c:ptCount val="0"/>
              </c:strCache>
            </c:strRef>
          </c:cat>
          <c:val>
            <c:numRef>
              <c:f>'Summary'!$F$6:$F$7</c:f>
              <c:numCache>
                <c:formatCode>0</c:formatCode>
                <c:ptCount val="0"/>
              </c:numCache>
            </c:numRef>
          </c:val>
        </c:ser>
        <c:ser>
          <c:idx val="5"/>
          <c:order val="5"/>
          <c:tx>
            <c:v>Unknown</c:v>
          </c:tx>
          <c:dLbls>
            <c:showLegendKey val="0"/>
            <c:showVal val="0"/>
            <c:showCatName val="0"/>
            <c:showSerName val="0"/>
            <c:showPercent val="0"/>
            <c:showBubbleSize val="0"/>
            <c:showLeaderLines val="0"/>
          </c:dLbls>
          <c:cat>
            <c:strRef>
              <c:f>'Summary'!$A$6:$A$7</c:f>
              <c:strCache>
                <c:ptCount val="0"/>
              </c:strCache>
            </c:strRef>
          </c:cat>
          <c:val>
            <c:numRef>
              <c:f>'Summary'!$G$6:$G$7</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D8E2EA"/>
              </a:solidFill>
              <a:prstDash val="solid"/>
            </a:ln>
          </c:spPr>
        </c:majorGridlines>
        <c:title>
          <c:tx>
            <c:rich>
              <a:bodyPr xmlns:a="http://schemas.openxmlformats.org/drawingml/2006/main"/>
              <a:lstStyle xmlns:a="http://schemas.openxmlformats.org/drawingml/2006/main"/>
              <a:p xmlns:a="http://schemas.openxmlformats.org/drawingml/2006/main">
                <a:r>
                  <a:rPr/>
                  <a:t>Field count</a:t>
                </a:r>
              </a:p>
            </c:rich>
          </c:tx>
          <c:overlay val="0"/>
        </c:title>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16</xdr:row>
      <xdr:rowOff>0</xdr:rowOff>
    </xdr:from>
    <xdr:to>
      <xdr:col>11</xdr:col>
      <xdr:colOff>0</xdr:colOff>
      <xdr:row>34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87b45584c18405e"/>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356f277d688e4d14"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8" hidden="0" customWidth="1"/>
    <x:col min="10" max="10" width="18" hidden="0" customWidth="1"/>
    <x:col min="11" max="11" width="20" hidden="0" customWidth="1"/>
  </x:cols>
  <x:sheetData>
    <x:row r="1">
      <x:c r="A1" s="21" t="str">
        <x:v>Automatic Mapping Accuracy Evaluation</x:v>
      </x:c>
      <x:c r="B1" s="21"/>
      <x:c r="C1" s="21"/>
      <x:c r="D1" s="21"/>
      <x:c r="E1" s="21"/>
      <x:c r="F1" s="21"/>
      <x:c r="G1" s="21"/>
      <x:c r="H1" s="21"/>
      <x:c r="I1" s="21"/>
      <x:c r="J1" s="21"/>
      <x:c r="K1" s="21"/>
    </x:row>
    <x:row r="2">
      <x:c r="A2" s="21"/>
      <x:c r="B2" s="21"/>
      <x:c r="C2" s="21"/>
      <x:c r="D2" s="21"/>
      <x:c r="E2" s="21"/>
      <x:c r="F2" s="21"/>
      <x:c r="G2" s="21"/>
      <x:c r="H2" s="21"/>
      <x:c r="I2" s="21"/>
      <x:c r="J2" s="21"/>
      <x:c r="K2" s="21"/>
    </x:row>
    <x:row r="3">
      <x:c r="A3" s="24" t="str">
        <x:v>Cold-start field-level evaluation for UCI Portuguese and OULAD. Unit: file-qualified raw field.</x:v>
      </x:c>
      <x:c r="B3" s="24"/>
      <x:c r="C3" s="24"/>
      <x:c r="D3" s="24"/>
      <x:c r="E3" s="24"/>
      <x:c r="F3" s="24"/>
      <x:c r="G3" s="24"/>
      <x:c r="H3" s="24"/>
      <x:c r="I3" s="24"/>
      <x:c r="J3" s="24"/>
      <x:c r="K3" s="24"/>
    </x:row>
    <x:row r="5">
      <x:c r="A5" s="29" t="str">
        <x:v>Dataset</x:v>
      </x:c>
      <x:c r="B5" s="29" t="str">
        <x:v>Total fields</x:v>
      </x:c>
      <x:c r="C5" s="29" t="str">
        <x:v>Mappable</x:v>
      </x:c>
      <x:c r="D5" s="29" t="str">
        <x:v>Exact</x:v>
      </x:c>
      <x:c r="E5" s="29" t="str">
        <x:v>Near-correct</x:v>
      </x:c>
      <x:c r="F5" s="29" t="str">
        <x:v>Wrong</x:v>
      </x:c>
      <x:c r="G5" s="29" t="str">
        <x:v>Unknown</x:v>
      </x:c>
      <x:c r="H5" s="29" t="str">
        <x:v>Correctly excluded</x:v>
      </x:c>
      <x:c r="I5" s="29" t="str">
        <x:v>Exact accuracy</x:v>
      </x:c>
      <x:c r="J5" s="29" t="str">
        <x:v>Usable mapping rate</x:v>
      </x:c>
      <x:c r="K5" s="29" t="str">
        <x:v>High-confidence errors</x:v>
      </x:c>
    </x:row>
    <x:row r="6">
      <x:c r="A6" s="31" t="str">
        <x:v>UCI Portuguese</x:v>
      </x:c>
      <x:c r="B6" s="36" t="n">
        <x:f>COUNTIF('Field Results'!$A$2:$A$77,A6)</x:f>
        <x:v>33</x:v>
      </x:c>
      <x:c r="C6" s="36" t="n">
        <x:f>COUNTIFS('Field Results'!$A$2:$A$77,A6,'Field Results'!$D$2:$D$77,"&lt;&gt;")</x:f>
        <x:v>31</x:v>
      </x:c>
      <x:c r="D6" s="36" t="n">
        <x:f>COUNTIFS('Field Results'!$A$2:$A$77,A6,'Field Results'!$L$2:$L$77,"exact")</x:f>
        <x:v>31</x:v>
      </x:c>
      <x:c r="E6" s="36" t="n">
        <x:f>COUNTIFS('Field Results'!$A$2:$A$77,A6,'Field Results'!$L$2:$L$77,"near_correct")</x:f>
        <x:v>0</x:v>
      </x:c>
      <x:c r="F6" s="36" t="n">
        <x:f>COUNTIFS('Field Results'!$A$2:$A$77,A6,'Field Results'!$L$2:$L$77,"wrong")</x:f>
        <x:v>0</x:v>
      </x:c>
      <x:c r="G6" s="36" t="n">
        <x:f>COUNTIFS('Field Results'!$A$2:$A$77,A6,'Field Results'!$L$2:$L$77,"unknown")</x:f>
        <x:v>0</x:v>
      </x:c>
      <x:c r="H6" s="36" t="n">
        <x:f>COUNTIFS('Field Results'!$A$2:$A$77,A6,'Field Results'!$L$2:$L$77,"correctly_excluded")</x:f>
        <x:v>2</x:v>
      </x:c>
      <x:c r="I6" s="34" t="n">
        <x:f>IFERROR(D6/C6,0)</x:f>
        <x:v>1</x:v>
      </x:c>
      <x:c r="J6" s="34" t="n">
        <x:f>IFERROR((D6+E6)/C6,0)</x:f>
        <x:v>1</x:v>
      </x:c>
      <x:c r="K6" s="31" t="n">
        <x:f>COUNTIFS('Field Results'!$A$2:$A$77,A6,'Field Results'!$K$2:$K$77,"&gt;=0.95",'Field Results'!$L$2:$L$77,"wrong")+COUNTIFS('Field Results'!$A$2:$A$77,A6,'Field Results'!$K$2:$K$77,"&gt;=0.95",'Field Results'!$L$2:$L$77,"unknown")</x:f>
        <x:v>0</x:v>
      </x:c>
    </x:row>
    <x:row r="7">
      <x:c r="A7" s="31" t="str">
        <x:v>OULAD</x:v>
      </x:c>
      <x:c r="B7" s="36" t="n">
        <x:f>COUNTIF('Field Results'!$A$2:$A$77,A7)</x:f>
        <x:v>43</x:v>
      </x:c>
      <x:c r="C7" s="36" t="n">
        <x:f>COUNTIFS('Field Results'!$A$2:$A$77,A7,'Field Results'!$D$2:$D$77,"&lt;&gt;")</x:f>
        <x:v>43</x:v>
      </x:c>
      <x:c r="D7" s="36" t="n">
        <x:f>COUNTIFS('Field Results'!$A$2:$A$77,A7,'Field Results'!$L$2:$L$77,"exact")</x:f>
        <x:v>28</x:v>
      </x:c>
      <x:c r="E7" s="36" t="n">
        <x:f>COUNTIFS('Field Results'!$A$2:$A$77,A7,'Field Results'!$L$2:$L$77,"near_correct")</x:f>
        <x:v>11</x:v>
      </x:c>
      <x:c r="F7" s="36" t="n">
        <x:f>COUNTIFS('Field Results'!$A$2:$A$77,A7,'Field Results'!$L$2:$L$77,"wrong")</x:f>
        <x:v>4</x:v>
      </x:c>
      <x:c r="G7" s="36" t="n">
        <x:f>COUNTIFS('Field Results'!$A$2:$A$77,A7,'Field Results'!$L$2:$L$77,"unknown")</x:f>
        <x:v>0</x:v>
      </x:c>
      <x:c r="H7" s="36" t="n">
        <x:f>COUNTIFS('Field Results'!$A$2:$A$77,A7,'Field Results'!$L$2:$L$77,"correctly_excluded")</x:f>
        <x:v>0</x:v>
      </x:c>
      <x:c r="I7" s="34" t="n">
        <x:f>IFERROR(D7/C7,0)</x:f>
        <x:v>0.6511627906976745</x:v>
      </x:c>
      <x:c r="J7" s="34" t="n">
        <x:f>IFERROR((D7+E7)/C7,0)</x:f>
        <x:v>0.9069767441860465</x:v>
      </x:c>
      <x:c r="K7" s="31" t="n">
        <x:f>COUNTIFS('Field Results'!$A$2:$A$77,A7,'Field Results'!$K$2:$K$77,"&gt;=0.95",'Field Results'!$L$2:$L$77,"wrong")+COUNTIFS('Field Results'!$A$2:$A$77,A7,'Field Results'!$K$2:$K$77,"&gt;=0.95",'Field Results'!$L$2:$L$77,"unknown")</x:f>
        <x:v>1</x:v>
      </x:c>
    </x:row>
    <x:row r="8">
      <x:c r="A8" s="33" t="str">
        <x:v>Combined</x:v>
      </x:c>
      <x:c r="B8" s="37" t="n">
        <x:f>SUM(B6:B7)</x:f>
        <x:v>76</x:v>
      </x:c>
      <x:c r="C8" s="37" t="n">
        <x:f>SUM(C6:C7)</x:f>
        <x:v>74</x:v>
      </x:c>
      <x:c r="D8" s="37" t="n">
        <x:f>SUM(D6:D7)</x:f>
        <x:v>59</x:v>
      </x:c>
      <x:c r="E8" s="37" t="n">
        <x:f>SUM(E6:E7)</x:f>
        <x:v>11</x:v>
      </x:c>
      <x:c r="F8" s="37" t="n">
        <x:f>SUM(F6:F7)</x:f>
        <x:v>4</x:v>
      </x:c>
      <x:c r="G8" s="37" t="n">
        <x:f>SUM(G6:G7)</x:f>
        <x:v>0</x:v>
      </x:c>
      <x:c r="H8" s="37" t="n">
        <x:f>SUM(H6:H7)</x:f>
        <x:v>2</x:v>
      </x:c>
      <x:c r="I8" s="35" t="n">
        <x:f>IFERROR(D8/C8,0)</x:f>
        <x:v>0.7972972972972973</x:v>
      </x:c>
      <x:c r="J8" s="35" t="n">
        <x:f>IFERROR((D8+E8)/C8,0)</x:f>
        <x:v>0.9459459459459459</x:v>
      </x:c>
      <x:c r="K8" s="33" t="n">
        <x:f>SUM(K6:K7)</x:f>
        <x:v>1</x:v>
      </x:c>
    </x:row>
    <x:row r="10">
      <x:c r="A10" s="38" t="str">
        <x:v>Key findings</x:v>
      </x:c>
      <x:c r="B10" s="38"/>
      <x:c r="C10" s="38"/>
      <x:c r="D10" s="38"/>
      <x:c r="E10" s="38"/>
      <x:c r="G10" s="43" t="str">
        <x:v>Recommended thesis metrics</x:v>
      </x:c>
      <x:c r="H10" s="43"/>
      <x:c r="I10" s="43"/>
      <x:c r="J10" s="43"/>
      <x:c r="K10" s="43"/>
    </x:row>
    <x:row r="11">
      <x:c r="A11" s="42" t="str">
        <x:v>• UCI Portuguese: 31/31 mappable fields are exact; reason and nursery are correctly excluded.
• OULAD: 28 exact, 11 near-correct, 4 wrong.
• Wrong mappings: assessments.date → event_day; courses.module_presentation_length → course_run; vle.week_from/week_to → week_number.
• One wrong mapping has confidence ≥ 0.95, showing that confidence must not be reported as accuracy.
• Near-correct cases mainly involve code_module and incorrect entity scope for enrollment fields.</x:v>
      </x:c>
      <x:c r="B11" s="42"/>
      <x:c r="C11" s="42"/>
      <x:c r="D11" s="42"/>
      <x:c r="E11" s="42"/>
      <x:c r="G11" s="47" t="str">
        <x:v>Report both strict exact accuracy and usable mapping rate. Keep Wrong and Unknown as separate error classes, and report Correctly excluded outside the mappable denominator. For reproducibility, state that this is a cold-start evaluation without learned alias memory.</x:v>
      </x:c>
      <x:c r="H11" s="47"/>
      <x:c r="I11" s="47"/>
      <x:c r="J11" s="47"/>
      <x:c r="K11" s="47"/>
    </x:row>
    <x:row r="12">
      <x:c r="A12" s="42"/>
      <x:c r="B12" s="42"/>
      <x:c r="C12" s="42"/>
      <x:c r="D12" s="42"/>
      <x:c r="E12" s="42"/>
      <x:c r="G12" s="47"/>
      <x:c r="H12" s="47"/>
      <x:c r="I12" s="47"/>
      <x:c r="J12" s="47"/>
      <x:c r="K12" s="47"/>
    </x:row>
    <x:row r="13">
      <x:c r="A13" s="42"/>
      <x:c r="B13" s="42"/>
      <x:c r="C13" s="42"/>
      <x:c r="D13" s="42"/>
      <x:c r="E13" s="42"/>
      <x:c r="G13" s="47"/>
      <x:c r="H13" s="47"/>
      <x:c r="I13" s="47"/>
      <x:c r="J13" s="47"/>
      <x:c r="K13" s="47"/>
    </x:row>
    <x:row r="14">
      <x:c r="A14" s="42"/>
      <x:c r="B14" s="42"/>
      <x:c r="C14" s="42"/>
      <x:c r="D14" s="42"/>
      <x:c r="E14" s="42"/>
      <x:c r="G14" s="47"/>
      <x:c r="H14" s="47"/>
      <x:c r="I14" s="47"/>
      <x:c r="J14" s="47"/>
      <x:c r="K14" s="47"/>
    </x:row>
    <x:row r="15">
      <x:c r="A15" s="42"/>
      <x:c r="B15" s="42"/>
      <x:c r="C15" s="42"/>
      <x:c r="D15" s="42"/>
      <x:c r="E15" s="42"/>
      <x:c r="G15" s="47"/>
      <x:c r="H15" s="47"/>
      <x:c r="I15" s="47"/>
      <x:c r="J15" s="47"/>
      <x:c r="K15" s="47"/>
    </x:row>
  </x:sheetData>
  <x:mergeCells>
    <x:mergeCell ref="A1:K2"/>
    <x:mergeCell ref="A3:K3"/>
    <x:mergeCell ref="A10:E10"/>
    <x:mergeCell ref="A11:E15"/>
    <x:mergeCell ref="G10:K10"/>
    <x:mergeCell ref="G11:K15"/>
  </x:mergeCells>
  <x:pageMargins left="0.7" right="0.7" top="0.75" bottom="0.75" header="0.3" footer="0.3"/>
  <x:drawing xmlns:r="http://schemas.openxmlformats.org/officeDocument/2006/relationships" r:id="R356f277d688e4d14"/>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24" hidden="0" customWidth="1"/>
    <x:col min="3" max="3" width="25" hidden="0" customWidth="1"/>
    <x:col min="4" max="4" width="24" hidden="0" customWidth="1"/>
    <x:col min="5" max="5" width="24" hidden="0" customWidth="1"/>
    <x:col min="6" max="6" width="20" hidden="0" customWidth="1"/>
    <x:col min="7" max="7" width="20" hidden="0" customWidth="1"/>
    <x:col min="8" max="8" width="18" hidden="0" customWidth="1"/>
    <x:col min="9" max="9" width="18" hidden="0" customWidth="1"/>
    <x:col min="10" max="10" width="15" hidden="0" customWidth="1"/>
    <x:col min="11" max="11" width="12" hidden="0" customWidth="1"/>
    <x:col min="12" max="12" width="18" hidden="0" customWidth="1"/>
    <x:col min="13" max="13" width="55" hidden="0" customWidth="1"/>
    <x:col min="14" max="14" width="55" hidden="0" customWidth="1"/>
  </x:cols>
  <x:sheetData>
    <x:row r="1">
      <x:c r="A1" s="6" t="str">
        <x:v>Dataset</x:v>
      </x:c>
      <x:c r="B1" s="6" t="str">
        <x:v>File</x:v>
      </x:c>
      <x:c r="C1" s="6" t="str">
        <x:v>Raw field</x:v>
      </x:c>
      <x:c r="D1" s="6" t="str">
        <x:v>Expected target</x:v>
      </x:c>
      <x:c r="E1" s="6" t="str">
        <x:v>Actual target</x:v>
      </x:c>
      <x:c r="F1" s="6" t="str">
        <x:v>Expected transform</x:v>
      </x:c>
      <x:c r="G1" s="6" t="str">
        <x:v>Actual transform</x:v>
      </x:c>
      <x:c r="H1" s="6" t="str">
        <x:v>Expected scope</x:v>
      </x:c>
      <x:c r="I1" s="6" t="str">
        <x:v>Actual scope</x:v>
      </x:c>
      <x:c r="J1" s="6" t="str">
        <x:v>Mapper status</x:v>
      </x:c>
      <x:c r="K1" s="6" t="str">
        <x:v>Confidence</x:v>
      </x:c>
      <x:c r="L1" s="6" t="str">
        <x:v>Category</x:v>
      </x:c>
      <x:c r="M1" s="6" t="str">
        <x:v>Reason</x:v>
      </x:c>
      <x:c r="N1" s="6" t="str">
        <x:v>Review comment</x:v>
      </x:c>
    </x:row>
    <x:row r="2">
      <x:c r="A2" s="11" t="str">
        <x:v>UCI Portuguese</x:v>
      </x:c>
      <x:c r="B2" s="11" t="str">
        <x:v>student-por.csv</x:v>
      </x:c>
      <x:c r="C2" s="11" t="str">
        <x:v>school</x:v>
      </x:c>
      <x:c r="D2" s="11" t="str">
        <x:v>school</x:v>
      </x:c>
      <x:c r="E2" s="11" t="str">
        <x:v>school</x:v>
      </x:c>
      <x:c r="F2" s="11" t="str">
        <x:v>direct_copy</x:v>
      </x:c>
      <x:c r="G2" s="11" t="str">
        <x:v>direct_copy</x:v>
      </x:c>
      <x:c r="H2" s="11" t="str">
        <x:v>student</x:v>
      </x:c>
      <x:c r="I2" s="11" t="str">
        <x:v>student</x:v>
      </x:c>
      <x:c r="J2" s="11" t="str">
        <x:v>suggested</x:v>
      </x:c>
      <x:c r="K2" s="12" t="n">
        <x:v>1</x:v>
      </x:c>
      <x:c r="L2" s="11" t="str">
        <x:v>exact</x:v>
      </x:c>
      <x:c r="M2" s="11" t="str">
        <x:v>Canonical target, transform, and entity scope match ground truth.</x:v>
      </x:c>
      <x:c r="N2" s="11"/>
    </x:row>
    <x:row r="3">
      <x:c r="A3" s="11" t="str">
        <x:v>UCI Portuguese</x:v>
      </x:c>
      <x:c r="B3" s="11" t="str">
        <x:v>student-por.csv</x:v>
      </x:c>
      <x:c r="C3" s="11" t="str">
        <x:v>sex</x:v>
      </x:c>
      <x:c r="D3" s="11" t="str">
        <x:v>gender</x:v>
      </x:c>
      <x:c r="E3" s="11" t="str">
        <x:v>gender</x:v>
      </x:c>
      <x:c r="F3" s="11" t="str">
        <x:v>normalize_gender</x:v>
      </x:c>
      <x:c r="G3" s="11" t="str">
        <x:v>normalize_gender</x:v>
      </x:c>
      <x:c r="H3" s="11" t="str">
        <x:v>student</x:v>
      </x:c>
      <x:c r="I3" s="11" t="str">
        <x:v>student</x:v>
      </x:c>
      <x:c r="J3" s="11" t="str">
        <x:v>suggested</x:v>
      </x:c>
      <x:c r="K3" s="12" t="n">
        <x:v>0.99</x:v>
      </x:c>
      <x:c r="L3" s="11" t="str">
        <x:v>exact</x:v>
      </x:c>
      <x:c r="M3" s="11" t="str">
        <x:v>Canonical target, transform, and entity scope match ground truth.</x:v>
      </x:c>
      <x:c r="N3" s="11"/>
    </x:row>
    <x:row r="4">
      <x:c r="A4" s="11" t="str">
        <x:v>UCI Portuguese</x:v>
      </x:c>
      <x:c r="B4" s="11" t="str">
        <x:v>student-por.csv</x:v>
      </x:c>
      <x:c r="C4" s="11" t="str">
        <x:v>age</x:v>
      </x:c>
      <x:c r="D4" s="11" t="str">
        <x:v>age_years</x:v>
      </x:c>
      <x:c r="E4" s="11" t="str">
        <x:v>age_years</x:v>
      </x:c>
      <x:c r="F4" s="11" t="str">
        <x:v>direct_copy | cast_int</x:v>
      </x:c>
      <x:c r="G4" s="11" t="str">
        <x:v>direct_copy</x:v>
      </x:c>
      <x:c r="H4" s="11" t="str">
        <x:v>student</x:v>
      </x:c>
      <x:c r="I4" s="11" t="str">
        <x:v>student</x:v>
      </x:c>
      <x:c r="J4" s="11" t="str">
        <x:v>suggested</x:v>
      </x:c>
      <x:c r="K4" s="12" t="n">
        <x:v>1</x:v>
      </x:c>
      <x:c r="L4" s="11" t="str">
        <x:v>exact</x:v>
      </x:c>
      <x:c r="M4" s="11" t="str">
        <x:v>Canonical target, transform, and entity scope match ground truth.</x:v>
      </x:c>
      <x:c r="N4" s="11"/>
    </x:row>
    <x:row r="5">
      <x:c r="A5" s="11" t="str">
        <x:v>UCI Portuguese</x:v>
      </x:c>
      <x:c r="B5" s="11" t="str">
        <x:v>student-por.csv</x:v>
      </x:c>
      <x:c r="C5" s="11" t="str">
        <x:v>address</x:v>
      </x:c>
      <x:c r="D5" s="11" t="str">
        <x:v>residence_area</x:v>
      </x:c>
      <x:c r="E5" s="11" t="str">
        <x:v>residence_area</x:v>
      </x:c>
      <x:c r="F5" s="11" t="str">
        <x:v>direct_copy</x:v>
      </x:c>
      <x:c r="G5" s="11" t="str">
        <x:v>direct_copy</x:v>
      </x:c>
      <x:c r="H5" s="11" t="str">
        <x:v>student</x:v>
      </x:c>
      <x:c r="I5" s="11" t="str">
        <x:v>student</x:v>
      </x:c>
      <x:c r="J5" s="11" t="str">
        <x:v>suggested</x:v>
      </x:c>
      <x:c r="K5" s="12" t="n">
        <x:v>0.95</x:v>
      </x:c>
      <x:c r="L5" s="11" t="str">
        <x:v>exact</x:v>
      </x:c>
      <x:c r="M5" s="11" t="str">
        <x:v>Canonical target, transform, and entity scope match ground truth.</x:v>
      </x:c>
      <x:c r="N5" s="11"/>
    </x:row>
    <x:row r="6">
      <x:c r="A6" s="11" t="str">
        <x:v>UCI Portuguese</x:v>
      </x:c>
      <x:c r="B6" s="11" t="str">
        <x:v>student-por.csv</x:v>
      </x:c>
      <x:c r="C6" s="11" t="str">
        <x:v>famsize</x:v>
      </x:c>
      <x:c r="D6" s="11" t="str">
        <x:v>family_size</x:v>
      </x:c>
      <x:c r="E6" s="11" t="str">
        <x:v>family_size</x:v>
      </x:c>
      <x:c r="F6" s="11" t="str">
        <x:v>direct_copy</x:v>
      </x:c>
      <x:c r="G6" s="11" t="str">
        <x:v>direct_copy</x:v>
      </x:c>
      <x:c r="H6" s="11" t="str">
        <x:v>student</x:v>
      </x:c>
      <x:c r="I6" s="11" t="str">
        <x:v>student</x:v>
      </x:c>
      <x:c r="J6" s="11" t="str">
        <x:v>suggested</x:v>
      </x:c>
      <x:c r="K6" s="12" t="n">
        <x:v>1</x:v>
      </x:c>
      <x:c r="L6" s="11" t="str">
        <x:v>exact</x:v>
      </x:c>
      <x:c r="M6" s="11" t="str">
        <x:v>Canonical target, transform, and entity scope match ground truth.</x:v>
      </x:c>
      <x:c r="N6" s="11"/>
    </x:row>
    <x:row r="7">
      <x:c r="A7" s="11" t="str">
        <x:v>UCI Portuguese</x:v>
      </x:c>
      <x:c r="B7" s="11" t="str">
        <x:v>student-por.csv</x:v>
      </x:c>
      <x:c r="C7" s="11" t="str">
        <x:v>Pstatus</x:v>
      </x:c>
      <x:c r="D7" s="11" t="str">
        <x:v>parent_cohabitation_status</x:v>
      </x:c>
      <x:c r="E7" s="11" t="str">
        <x:v>parent_cohabitation_status</x:v>
      </x:c>
      <x:c r="F7" s="11" t="str">
        <x:v>direct_copy</x:v>
      </x:c>
      <x:c r="G7" s="11" t="str">
        <x:v>direct_copy</x:v>
      </x:c>
      <x:c r="H7" s="11" t="str">
        <x:v>student</x:v>
      </x:c>
      <x:c r="I7" s="11" t="str">
        <x:v>student</x:v>
      </x:c>
      <x:c r="J7" s="11" t="str">
        <x:v>suggested</x:v>
      </x:c>
      <x:c r="K7" s="12" t="n">
        <x:v>0.97</x:v>
      </x:c>
      <x:c r="L7" s="11" t="str">
        <x:v>exact</x:v>
      </x:c>
      <x:c r="M7" s="11" t="str">
        <x:v>Canonical target, transform, and entity scope match ground truth.</x:v>
      </x:c>
      <x:c r="N7" s="11"/>
    </x:row>
    <x:row r="8">
      <x:c r="A8" s="11" t="str">
        <x:v>UCI Portuguese</x:v>
      </x:c>
      <x:c r="B8" s="11" t="str">
        <x:v>student-por.csv</x:v>
      </x:c>
      <x:c r="C8" s="11" t="str">
        <x:v>Medu</x:v>
      </x:c>
      <x:c r="D8" s="11" t="str">
        <x:v>mother_education_level</x:v>
      </x:c>
      <x:c r="E8" s="11" t="str">
        <x:v>mother_education_level</x:v>
      </x:c>
      <x:c r="F8" s="11" t="str">
        <x:v>direct_copy</x:v>
      </x:c>
      <x:c r="G8" s="11" t="str">
        <x:v>direct_copy</x:v>
      </x:c>
      <x:c r="H8" s="11" t="str">
        <x:v>student</x:v>
      </x:c>
      <x:c r="I8" s="11" t="str">
        <x:v>student</x:v>
      </x:c>
      <x:c r="J8" s="11" t="str">
        <x:v>suggested</x:v>
      </x:c>
      <x:c r="K8" s="12" t="n">
        <x:v>0.97</x:v>
      </x:c>
      <x:c r="L8" s="11" t="str">
        <x:v>exact</x:v>
      </x:c>
      <x:c r="M8" s="11" t="str">
        <x:v>Canonical target, transform, and entity scope match ground truth.</x:v>
      </x:c>
      <x:c r="N8" s="11"/>
    </x:row>
    <x:row r="9">
      <x:c r="A9" s="11" t="str">
        <x:v>UCI Portuguese</x:v>
      </x:c>
      <x:c r="B9" s="11" t="str">
        <x:v>student-por.csv</x:v>
      </x:c>
      <x:c r="C9" s="11" t="str">
        <x:v>Fedu</x:v>
      </x:c>
      <x:c r="D9" s="11" t="str">
        <x:v>father_education_level</x:v>
      </x:c>
      <x:c r="E9" s="11" t="str">
        <x:v>father_education_level</x:v>
      </x:c>
      <x:c r="F9" s="11" t="str">
        <x:v>direct_copy</x:v>
      </x:c>
      <x:c r="G9" s="11" t="str">
        <x:v>direct_copy</x:v>
      </x:c>
      <x:c r="H9" s="11" t="str">
        <x:v>student</x:v>
      </x:c>
      <x:c r="I9" s="11" t="str">
        <x:v>student</x:v>
      </x:c>
      <x:c r="J9" s="11" t="str">
        <x:v>suggested</x:v>
      </x:c>
      <x:c r="K9" s="12" t="n">
        <x:v>0.97</x:v>
      </x:c>
      <x:c r="L9" s="11" t="str">
        <x:v>exact</x:v>
      </x:c>
      <x:c r="M9" s="11" t="str">
        <x:v>Canonical target, transform, and entity scope match ground truth.</x:v>
      </x:c>
      <x:c r="N9" s="11"/>
    </x:row>
    <x:row r="10">
      <x:c r="A10" s="11" t="str">
        <x:v>UCI Portuguese</x:v>
      </x:c>
      <x:c r="B10" s="11" t="str">
        <x:v>student-por.csv</x:v>
      </x:c>
      <x:c r="C10" s="11" t="str">
        <x:v>Mjob</x:v>
      </x:c>
      <x:c r="D10" s="11" t="str">
        <x:v>mother_job</x:v>
      </x:c>
      <x:c r="E10" s="11" t="str">
        <x:v>mother_job</x:v>
      </x:c>
      <x:c r="F10" s="11" t="str">
        <x:v>direct_copy</x:v>
      </x:c>
      <x:c r="G10" s="11" t="str">
        <x:v>direct_copy</x:v>
      </x:c>
      <x:c r="H10" s="11" t="str">
        <x:v>student</x:v>
      </x:c>
      <x:c r="I10" s="11" t="str">
        <x:v>student</x:v>
      </x:c>
      <x:c r="J10" s="11" t="str">
        <x:v>suggested</x:v>
      </x:c>
      <x:c r="K10" s="12" t="n">
        <x:v>0.97</x:v>
      </x:c>
      <x:c r="L10" s="11" t="str">
        <x:v>exact</x:v>
      </x:c>
      <x:c r="M10" s="11" t="str">
        <x:v>Canonical target, transform, and entity scope match ground truth.</x:v>
      </x:c>
      <x:c r="N10" s="11"/>
    </x:row>
    <x:row r="11">
      <x:c r="A11" s="11" t="str">
        <x:v>UCI Portuguese</x:v>
      </x:c>
      <x:c r="B11" s="11" t="str">
        <x:v>student-por.csv</x:v>
      </x:c>
      <x:c r="C11" s="11" t="str">
        <x:v>Fjob</x:v>
      </x:c>
      <x:c r="D11" s="11" t="str">
        <x:v>father_job</x:v>
      </x:c>
      <x:c r="E11" s="11" t="str">
        <x:v>father_job</x:v>
      </x:c>
      <x:c r="F11" s="11" t="str">
        <x:v>direct_copy</x:v>
      </x:c>
      <x:c r="G11" s="11" t="str">
        <x:v>direct_copy</x:v>
      </x:c>
      <x:c r="H11" s="11" t="str">
        <x:v>student</x:v>
      </x:c>
      <x:c r="I11" s="11" t="str">
        <x:v>student</x:v>
      </x:c>
      <x:c r="J11" s="11" t="str">
        <x:v>suggested</x:v>
      </x:c>
      <x:c r="K11" s="12" t="n">
        <x:v>0.97</x:v>
      </x:c>
      <x:c r="L11" s="11" t="str">
        <x:v>exact</x:v>
      </x:c>
      <x:c r="M11" s="11" t="str">
        <x:v>Canonical target, transform, and entity scope match ground truth.</x:v>
      </x:c>
      <x:c r="N11" s="11"/>
    </x:row>
    <x:row r="12">
      <x:c r="A12" s="13" t="str">
        <x:v>UCI Portuguese</x:v>
      </x:c>
      <x:c r="B12" s="13" t="str">
        <x:v>student-por.csv</x:v>
      </x:c>
      <x:c r="C12" s="13" t="str">
        <x:v>reason</x:v>
      </x:c>
      <x:c r="D12" s="13"/>
      <x:c r="E12" s="13"/>
      <x:c r="F12" s="13" t="str">
        <x:v>ignore</x:v>
      </x:c>
      <x:c r="G12" s="13" t="str">
        <x:v>ignore</x:v>
      </x:c>
      <x:c r="H12" s="13"/>
      <x:c r="I12" s="13"/>
      <x:c r="J12" s="13" t="str">
        <x:v>unmapped</x:v>
      </x:c>
      <x:c r="K12" s="14" t="n">
        <x:v>0.08</x:v>
      </x:c>
      <x:c r="L12" s="13" t="str">
        <x:v>correctly_excluded</x:v>
      </x:c>
      <x:c r="M12" s="13" t="str">
        <x:v>No equivalent canonical field.</x:v>
      </x:c>
      <x:c r="N12" s="13"/>
    </x:row>
    <x:row r="13">
      <x:c r="A13" s="11" t="str">
        <x:v>UCI Portuguese</x:v>
      </x:c>
      <x:c r="B13" s="11" t="str">
        <x:v>student-por.csv</x:v>
      </x:c>
      <x:c r="C13" s="11" t="str">
        <x:v>guardian</x:v>
      </x:c>
      <x:c r="D13" s="11" t="str">
        <x:v>guardian_type</x:v>
      </x:c>
      <x:c r="E13" s="11" t="str">
        <x:v>guardian_type</x:v>
      </x:c>
      <x:c r="F13" s="11" t="str">
        <x:v>direct_copy</x:v>
      </x:c>
      <x:c r="G13" s="11" t="str">
        <x:v>direct_copy</x:v>
      </x:c>
      <x:c r="H13" s="11" t="str">
        <x:v>student</x:v>
      </x:c>
      <x:c r="I13" s="11" t="str">
        <x:v>student</x:v>
      </x:c>
      <x:c r="J13" s="11" t="str">
        <x:v>suggested</x:v>
      </x:c>
      <x:c r="K13" s="12" t="n">
        <x:v>0.97</x:v>
      </x:c>
      <x:c r="L13" s="11" t="str">
        <x:v>exact</x:v>
      </x:c>
      <x:c r="M13" s="11" t="str">
        <x:v>Canonical target, transform, and entity scope match ground truth.</x:v>
      </x:c>
      <x:c r="N13" s="11"/>
    </x:row>
    <x:row r="14">
      <x:c r="A14" s="11" t="str">
        <x:v>UCI Portuguese</x:v>
      </x:c>
      <x:c r="B14" s="11" t="str">
        <x:v>student-por.csv</x:v>
      </x:c>
      <x:c r="C14" s="11" t="str">
        <x:v>traveltime</x:v>
      </x:c>
      <x:c r="D14" s="11" t="str">
        <x:v>travel_time</x:v>
      </x:c>
      <x:c r="E14" s="11" t="str">
        <x:v>travel_time</x:v>
      </x:c>
      <x:c r="F14" s="11" t="str">
        <x:v>cast_int</x:v>
      </x:c>
      <x:c r="G14" s="11" t="str">
        <x:v>cast_int</x:v>
      </x:c>
      <x:c r="H14" s="11" t="str">
        <x:v>student</x:v>
      </x:c>
      <x:c r="I14" s="11" t="str">
        <x:v>student</x:v>
      </x:c>
      <x:c r="J14" s="11" t="str">
        <x:v>suggested</x:v>
      </x:c>
      <x:c r="K14" s="12" t="n">
        <x:v>0.96</x:v>
      </x:c>
      <x:c r="L14" s="11" t="str">
        <x:v>exact</x:v>
      </x:c>
      <x:c r="M14" s="11" t="str">
        <x:v>Canonical target, transform, and entity scope match ground truth.</x:v>
      </x:c>
      <x:c r="N14" s="11"/>
    </x:row>
    <x:row r="15">
      <x:c r="A15" s="11" t="str">
        <x:v>UCI Portuguese</x:v>
      </x:c>
      <x:c r="B15" s="11" t="str">
        <x:v>student-por.csv</x:v>
      </x:c>
      <x:c r="C15" s="11" t="str">
        <x:v>studytime</x:v>
      </x:c>
      <x:c r="D15" s="11" t="str">
        <x:v>studytime</x:v>
      </x:c>
      <x:c r="E15" s="11" t="str">
        <x:v>studytime</x:v>
      </x:c>
      <x:c r="F15" s="11" t="str">
        <x:v>cast_int</x:v>
      </x:c>
      <x:c r="G15" s="11" t="str">
        <x:v>cast_int</x:v>
      </x:c>
      <x:c r="H15" s="11" t="str">
        <x:v>enrollment</x:v>
      </x:c>
      <x:c r="I15" s="11" t="str">
        <x:v>enrollment</x:v>
      </x:c>
      <x:c r="J15" s="11" t="str">
        <x:v>suggested</x:v>
      </x:c>
      <x:c r="K15" s="12" t="n">
        <x:v>0.95</x:v>
      </x:c>
      <x:c r="L15" s="11" t="str">
        <x:v>exact</x:v>
      </x:c>
      <x:c r="M15" s="11" t="str">
        <x:v>Canonical target, transform, and entity scope match ground truth.</x:v>
      </x:c>
      <x:c r="N15" s="11"/>
    </x:row>
    <x:row r="16">
      <x:c r="A16" s="11" t="str">
        <x:v>UCI Portuguese</x:v>
      </x:c>
      <x:c r="B16" s="11" t="str">
        <x:v>student-por.csv</x:v>
      </x:c>
      <x:c r="C16" s="11" t="str">
        <x:v>failures</x:v>
      </x:c>
      <x:c r="D16" s="11" t="str">
        <x:v>previous_attempt_count</x:v>
      </x:c>
      <x:c r="E16" s="11" t="str">
        <x:v>previous_attempt_count</x:v>
      </x:c>
      <x:c r="F16" s="11" t="str">
        <x:v>cast_int</x:v>
      </x:c>
      <x:c r="G16" s="11" t="str">
        <x:v>cast_int</x:v>
      </x:c>
      <x:c r="H16" s="11" t="str">
        <x:v>enrollment</x:v>
      </x:c>
      <x:c r="I16" s="11" t="str">
        <x:v>enrollment</x:v>
      </x:c>
      <x:c r="J16" s="11" t="str">
        <x:v>suggested</x:v>
      </x:c>
      <x:c r="K16" s="12" t="n">
        <x:v>0.95</x:v>
      </x:c>
      <x:c r="L16" s="11" t="str">
        <x:v>exact</x:v>
      </x:c>
      <x:c r="M16" s="11" t="str">
        <x:v>Canonical target, transform, and entity scope match ground truth.</x:v>
      </x:c>
      <x:c r="N16" s="11"/>
    </x:row>
    <x:row r="17">
      <x:c r="A17" s="11" t="str">
        <x:v>UCI Portuguese</x:v>
      </x:c>
      <x:c r="B17" s="11" t="str">
        <x:v>student-por.csv</x:v>
      </x:c>
      <x:c r="C17" s="11" t="str">
        <x:v>schoolsup</x:v>
      </x:c>
      <x:c r="D17" s="11" t="str">
        <x:v>school_support_flag</x:v>
      </x:c>
      <x:c r="E17" s="11" t="str">
        <x:v>school_support_flag</x:v>
      </x:c>
      <x:c r="F17" s="11" t="str">
        <x:v>cast_boolean</x:v>
      </x:c>
      <x:c r="G17" s="11" t="str">
        <x:v>cast_boolean</x:v>
      </x:c>
      <x:c r="H17" s="11" t="str">
        <x:v>student</x:v>
      </x:c>
      <x:c r="I17" s="11" t="str">
        <x:v>student</x:v>
      </x:c>
      <x:c r="J17" s="11" t="str">
        <x:v>suggested</x:v>
      </x:c>
      <x:c r="K17" s="12" t="n">
        <x:v>0.98</x:v>
      </x:c>
      <x:c r="L17" s="11" t="str">
        <x:v>exact</x:v>
      </x:c>
      <x:c r="M17" s="11" t="str">
        <x:v>Canonical target, transform, and entity scope match ground truth.</x:v>
      </x:c>
      <x:c r="N17" s="11"/>
    </x:row>
    <x:row r="18">
      <x:c r="A18" s="11" t="str">
        <x:v>UCI Portuguese</x:v>
      </x:c>
      <x:c r="B18" s="11" t="str">
        <x:v>student-por.csv</x:v>
      </x:c>
      <x:c r="C18" s="11" t="str">
        <x:v>famsup</x:v>
      </x:c>
      <x:c r="D18" s="11" t="str">
        <x:v>family_support_flag</x:v>
      </x:c>
      <x:c r="E18" s="11" t="str">
        <x:v>family_support_flag</x:v>
      </x:c>
      <x:c r="F18" s="11" t="str">
        <x:v>cast_boolean</x:v>
      </x:c>
      <x:c r="G18" s="11" t="str">
        <x:v>cast_boolean</x:v>
      </x:c>
      <x:c r="H18" s="11" t="str">
        <x:v>student</x:v>
      </x:c>
      <x:c r="I18" s="11" t="str">
        <x:v>student</x:v>
      </x:c>
      <x:c r="J18" s="11" t="str">
        <x:v>suggested</x:v>
      </x:c>
      <x:c r="K18" s="12" t="n">
        <x:v>0.98</x:v>
      </x:c>
      <x:c r="L18" s="11" t="str">
        <x:v>exact</x:v>
      </x:c>
      <x:c r="M18" s="11" t="str">
        <x:v>Canonical target, transform, and entity scope match ground truth.</x:v>
      </x:c>
      <x:c r="N18" s="11"/>
    </x:row>
    <x:row r="19">
      <x:c r="A19" s="11" t="str">
        <x:v>UCI Portuguese</x:v>
      </x:c>
      <x:c r="B19" s="11" t="str">
        <x:v>student-por.csv</x:v>
      </x:c>
      <x:c r="C19" s="11" t="str">
        <x:v>paid</x:v>
      </x:c>
      <x:c r="D19" s="11" t="str">
        <x:v>has_paid_class</x:v>
      </x:c>
      <x:c r="E19" s="11" t="str">
        <x:v>has_paid_class</x:v>
      </x:c>
      <x:c r="F19" s="11" t="str">
        <x:v>cast_boolean</x:v>
      </x:c>
      <x:c r="G19" s="11" t="str">
        <x:v>cast_boolean</x:v>
      </x:c>
      <x:c r="H19" s="11" t="str">
        <x:v>student</x:v>
      </x:c>
      <x:c r="I19" s="11" t="str">
        <x:v>student</x:v>
      </x:c>
      <x:c r="J19" s="11" t="str">
        <x:v>suggested</x:v>
      </x:c>
      <x:c r="K19" s="12" t="n">
        <x:v>0.98</x:v>
      </x:c>
      <x:c r="L19" s="11" t="str">
        <x:v>exact</x:v>
      </x:c>
      <x:c r="M19" s="11" t="str">
        <x:v>Canonical target, transform, and entity scope match ground truth.</x:v>
      </x:c>
      <x:c r="N19" s="11"/>
    </x:row>
    <x:row r="20">
      <x:c r="A20" s="11" t="str">
        <x:v>UCI Portuguese</x:v>
      </x:c>
      <x:c r="B20" s="11" t="str">
        <x:v>student-por.csv</x:v>
      </x:c>
      <x:c r="C20" s="11" t="str">
        <x:v>activities</x:v>
      </x:c>
      <x:c r="D20" s="11" t="str">
        <x:v>has_extracurricular</x:v>
      </x:c>
      <x:c r="E20" s="11" t="str">
        <x:v>has_extracurricular</x:v>
      </x:c>
      <x:c r="F20" s="11" t="str">
        <x:v>cast_boolean</x:v>
      </x:c>
      <x:c r="G20" s="11" t="str">
        <x:v>cast_boolean</x:v>
      </x:c>
      <x:c r="H20" s="11" t="str">
        <x:v>student</x:v>
      </x:c>
      <x:c r="I20" s="11" t="str">
        <x:v>student</x:v>
      </x:c>
      <x:c r="J20" s="11" t="str">
        <x:v>suggested</x:v>
      </x:c>
      <x:c r="K20" s="12" t="n">
        <x:v>0.98</x:v>
      </x:c>
      <x:c r="L20" s="11" t="str">
        <x:v>exact</x:v>
      </x:c>
      <x:c r="M20" s="11" t="str">
        <x:v>Canonical target, transform, and entity scope match ground truth.</x:v>
      </x:c>
      <x:c r="N20" s="11"/>
    </x:row>
    <x:row r="21">
      <x:c r="A21" s="13" t="str">
        <x:v>UCI Portuguese</x:v>
      </x:c>
      <x:c r="B21" s="13" t="str">
        <x:v>student-por.csv</x:v>
      </x:c>
      <x:c r="C21" s="13" t="str">
        <x:v>nursery</x:v>
      </x:c>
      <x:c r="D21" s="13"/>
      <x:c r="E21" s="13"/>
      <x:c r="F21" s="13" t="str">
        <x:v>ignore</x:v>
      </x:c>
      <x:c r="G21" s="13" t="str">
        <x:v>ignore</x:v>
      </x:c>
      <x:c r="H21" s="13"/>
      <x:c r="I21" s="13"/>
      <x:c r="J21" s="13" t="str">
        <x:v>unmapped</x:v>
      </x:c>
      <x:c r="K21" s="14" t="n">
        <x:v>0.11</x:v>
      </x:c>
      <x:c r="L21" s="13" t="str">
        <x:v>correctly_excluded</x:v>
      </x:c>
      <x:c r="M21" s="13" t="str">
        <x:v>No equivalent canonical field.</x:v>
      </x:c>
      <x:c r="N21" s="13"/>
    </x:row>
    <x:row r="22">
      <x:c r="A22" s="11" t="str">
        <x:v>UCI Portuguese</x:v>
      </x:c>
      <x:c r="B22" s="11" t="str">
        <x:v>student-por.csv</x:v>
      </x:c>
      <x:c r="C22" s="11" t="str">
        <x:v>higher</x:v>
      </x:c>
      <x:c r="D22" s="11" t="str">
        <x:v>higher_education_intent_flag</x:v>
      </x:c>
      <x:c r="E22" s="11" t="str">
        <x:v>higher_education_intent_flag</x:v>
      </x:c>
      <x:c r="F22" s="11" t="str">
        <x:v>cast_boolean</x:v>
      </x:c>
      <x:c r="G22" s="11" t="str">
        <x:v>cast_boolean</x:v>
      </x:c>
      <x:c r="H22" s="11" t="str">
        <x:v>student</x:v>
      </x:c>
      <x:c r="I22" s="11" t="str">
        <x:v>student</x:v>
      </x:c>
      <x:c r="J22" s="11" t="str">
        <x:v>suggested</x:v>
      </x:c>
      <x:c r="K22" s="12" t="n">
        <x:v>0.98</x:v>
      </x:c>
      <x:c r="L22" s="11" t="str">
        <x:v>exact</x:v>
      </x:c>
      <x:c r="M22" s="11" t="str">
        <x:v>Canonical target, transform, and entity scope match ground truth.</x:v>
      </x:c>
      <x:c r="N22" s="11"/>
    </x:row>
    <x:row r="23">
      <x:c r="A23" s="11" t="str">
        <x:v>UCI Portuguese</x:v>
      </x:c>
      <x:c r="B23" s="11" t="str">
        <x:v>student-por.csv</x:v>
      </x:c>
      <x:c r="C23" s="11" t="str">
        <x:v>internet</x:v>
      </x:c>
      <x:c r="D23" s="11" t="str">
        <x:v>internet_access_flag</x:v>
      </x:c>
      <x:c r="E23" s="11" t="str">
        <x:v>internet_access_flag</x:v>
      </x:c>
      <x:c r="F23" s="11" t="str">
        <x:v>cast_boolean</x:v>
      </x:c>
      <x:c r="G23" s="11" t="str">
        <x:v>cast_boolean</x:v>
      </x:c>
      <x:c r="H23" s="11" t="str">
        <x:v>student</x:v>
      </x:c>
      <x:c r="I23" s="11" t="str">
        <x:v>student</x:v>
      </x:c>
      <x:c r="J23" s="11" t="str">
        <x:v>suggested</x:v>
      </x:c>
      <x:c r="K23" s="12" t="n">
        <x:v>0.98</x:v>
      </x:c>
      <x:c r="L23" s="11" t="str">
        <x:v>exact</x:v>
      </x:c>
      <x:c r="M23" s="11" t="str">
        <x:v>Canonical target, transform, and entity scope match ground truth.</x:v>
      </x:c>
      <x:c r="N23" s="11"/>
    </x:row>
    <x:row r="24">
      <x:c r="A24" s="11" t="str">
        <x:v>UCI Portuguese</x:v>
      </x:c>
      <x:c r="B24" s="11" t="str">
        <x:v>student-por.csv</x:v>
      </x:c>
      <x:c r="C24" s="11" t="str">
        <x:v>romantic</x:v>
      </x:c>
      <x:c r="D24" s="11" t="str">
        <x:v>has_romantic</x:v>
      </x:c>
      <x:c r="E24" s="11" t="str">
        <x:v>has_romantic</x:v>
      </x:c>
      <x:c r="F24" s="11" t="str">
        <x:v>cast_boolean</x:v>
      </x:c>
      <x:c r="G24" s="11" t="str">
        <x:v>cast_boolean</x:v>
      </x:c>
      <x:c r="H24" s="11" t="str">
        <x:v>student</x:v>
      </x:c>
      <x:c r="I24" s="11" t="str">
        <x:v>student</x:v>
      </x:c>
      <x:c r="J24" s="11" t="str">
        <x:v>suggested</x:v>
      </x:c>
      <x:c r="K24" s="12" t="n">
        <x:v>0.98</x:v>
      </x:c>
      <x:c r="L24" s="11" t="str">
        <x:v>exact</x:v>
      </x:c>
      <x:c r="M24" s="11" t="str">
        <x:v>Canonical target, transform, and entity scope match ground truth.</x:v>
      </x:c>
      <x:c r="N24" s="11"/>
    </x:row>
    <x:row r="25">
      <x:c r="A25" s="11" t="str">
        <x:v>UCI Portuguese</x:v>
      </x:c>
      <x:c r="B25" s="11" t="str">
        <x:v>student-por.csv</x:v>
      </x:c>
      <x:c r="C25" s="11" t="str">
        <x:v>famrel</x:v>
      </x:c>
      <x:c r="D25" s="11" t="str">
        <x:v>family_relation</x:v>
      </x:c>
      <x:c r="E25" s="11" t="str">
        <x:v>family_relation</x:v>
      </x:c>
      <x:c r="F25" s="11" t="str">
        <x:v>cast_int</x:v>
      </x:c>
      <x:c r="G25" s="11" t="str">
        <x:v>cast_int</x:v>
      </x:c>
      <x:c r="H25" s="11" t="str">
        <x:v>student</x:v>
      </x:c>
      <x:c r="I25" s="11" t="str">
        <x:v>student</x:v>
      </x:c>
      <x:c r="J25" s="11" t="str">
        <x:v>suggested</x:v>
      </x:c>
      <x:c r="K25" s="12" t="n">
        <x:v>0.96</x:v>
      </x:c>
      <x:c r="L25" s="11" t="str">
        <x:v>exact</x:v>
      </x:c>
      <x:c r="M25" s="11" t="str">
        <x:v>Canonical target, transform, and entity scope match ground truth.</x:v>
      </x:c>
      <x:c r="N25" s="11"/>
    </x:row>
    <x:row r="26">
      <x:c r="A26" s="11" t="str">
        <x:v>UCI Portuguese</x:v>
      </x:c>
      <x:c r="B26" s="11" t="str">
        <x:v>student-por.csv</x:v>
      </x:c>
      <x:c r="C26" s="11" t="str">
        <x:v>freetime</x:v>
      </x:c>
      <x:c r="D26" s="11" t="str">
        <x:v>free_time</x:v>
      </x:c>
      <x:c r="E26" s="11" t="str">
        <x:v>free_time</x:v>
      </x:c>
      <x:c r="F26" s="11" t="str">
        <x:v>cast_int</x:v>
      </x:c>
      <x:c r="G26" s="11" t="str">
        <x:v>cast_int</x:v>
      </x:c>
      <x:c r="H26" s="11" t="str">
        <x:v>student</x:v>
      </x:c>
      <x:c r="I26" s="11" t="str">
        <x:v>student</x:v>
      </x:c>
      <x:c r="J26" s="11" t="str">
        <x:v>suggested</x:v>
      </x:c>
      <x:c r="K26" s="12" t="n">
        <x:v>0.96</x:v>
      </x:c>
      <x:c r="L26" s="11" t="str">
        <x:v>exact</x:v>
      </x:c>
      <x:c r="M26" s="11" t="str">
        <x:v>Canonical target, transform, and entity scope match ground truth.</x:v>
      </x:c>
      <x:c r="N26" s="11"/>
    </x:row>
    <x:row r="27">
      <x:c r="A27" s="11" t="str">
        <x:v>UCI Portuguese</x:v>
      </x:c>
      <x:c r="B27" s="11" t="str">
        <x:v>student-por.csv</x:v>
      </x:c>
      <x:c r="C27" s="11" t="str">
        <x:v>goout</x:v>
      </x:c>
      <x:c r="D27" s="11" t="str">
        <x:v>go_out_freq</x:v>
      </x:c>
      <x:c r="E27" s="11" t="str">
        <x:v>go_out_freq</x:v>
      </x:c>
      <x:c r="F27" s="11" t="str">
        <x:v>cast_int</x:v>
      </x:c>
      <x:c r="G27" s="11" t="str">
        <x:v>cast_int</x:v>
      </x:c>
      <x:c r="H27" s="11" t="str">
        <x:v>student</x:v>
      </x:c>
      <x:c r="I27" s="11" t="str">
        <x:v>student</x:v>
      </x:c>
      <x:c r="J27" s="11" t="str">
        <x:v>suggested</x:v>
      </x:c>
      <x:c r="K27" s="12" t="n">
        <x:v>0.96</x:v>
      </x:c>
      <x:c r="L27" s="11" t="str">
        <x:v>exact</x:v>
      </x:c>
      <x:c r="M27" s="11" t="str">
        <x:v>Canonical target, transform, and entity scope match ground truth.</x:v>
      </x:c>
      <x:c r="N27" s="11"/>
    </x:row>
    <x:row r="28">
      <x:c r="A28" s="11" t="str">
        <x:v>UCI Portuguese</x:v>
      </x:c>
      <x:c r="B28" s="11" t="str">
        <x:v>student-por.csv</x:v>
      </x:c>
      <x:c r="C28" s="11" t="str">
        <x:v>Dalc</x:v>
      </x:c>
      <x:c r="D28" s="11" t="str">
        <x:v>alcohol_weekday</x:v>
      </x:c>
      <x:c r="E28" s="11" t="str">
        <x:v>alcohol_weekday</x:v>
      </x:c>
      <x:c r="F28" s="11" t="str">
        <x:v>cast_int</x:v>
      </x:c>
      <x:c r="G28" s="11" t="str">
        <x:v>cast_int</x:v>
      </x:c>
      <x:c r="H28" s="11" t="str">
        <x:v>student</x:v>
      </x:c>
      <x:c r="I28" s="11" t="str">
        <x:v>student</x:v>
      </x:c>
      <x:c r="J28" s="11" t="str">
        <x:v>suggested</x:v>
      </x:c>
      <x:c r="K28" s="12" t="n">
        <x:v>0.96</x:v>
      </x:c>
      <x:c r="L28" s="11" t="str">
        <x:v>exact</x:v>
      </x:c>
      <x:c r="M28" s="11" t="str">
        <x:v>Canonical target, transform, and entity scope match ground truth.</x:v>
      </x:c>
      <x:c r="N28" s="11"/>
    </x:row>
    <x:row r="29">
      <x:c r="A29" s="11" t="str">
        <x:v>UCI Portuguese</x:v>
      </x:c>
      <x:c r="B29" s="11" t="str">
        <x:v>student-por.csv</x:v>
      </x:c>
      <x:c r="C29" s="11" t="str">
        <x:v>Walc</x:v>
      </x:c>
      <x:c r="D29" s="11" t="str">
        <x:v>alcohol_weekend</x:v>
      </x:c>
      <x:c r="E29" s="11" t="str">
        <x:v>alcohol_weekend</x:v>
      </x:c>
      <x:c r="F29" s="11" t="str">
        <x:v>cast_int</x:v>
      </x:c>
      <x:c r="G29" s="11" t="str">
        <x:v>cast_int</x:v>
      </x:c>
      <x:c r="H29" s="11" t="str">
        <x:v>student</x:v>
      </x:c>
      <x:c r="I29" s="11" t="str">
        <x:v>student</x:v>
      </x:c>
      <x:c r="J29" s="11" t="str">
        <x:v>suggested</x:v>
      </x:c>
      <x:c r="K29" s="12" t="n">
        <x:v>0.96</x:v>
      </x:c>
      <x:c r="L29" s="11" t="str">
        <x:v>exact</x:v>
      </x:c>
      <x:c r="M29" s="11" t="str">
        <x:v>Canonical target, transform, and entity scope match ground truth.</x:v>
      </x:c>
      <x:c r="N29" s="11"/>
    </x:row>
    <x:row r="30">
      <x:c r="A30" s="11" t="str">
        <x:v>UCI Portuguese</x:v>
      </x:c>
      <x:c r="B30" s="11" t="str">
        <x:v>student-por.csv</x:v>
      </x:c>
      <x:c r="C30" s="11" t="str">
        <x:v>health</x:v>
      </x:c>
      <x:c r="D30" s="11" t="str">
        <x:v>health_status</x:v>
      </x:c>
      <x:c r="E30" s="11" t="str">
        <x:v>health_status</x:v>
      </x:c>
      <x:c r="F30" s="11" t="str">
        <x:v>cast_int</x:v>
      </x:c>
      <x:c r="G30" s="11" t="str">
        <x:v>cast_int</x:v>
      </x:c>
      <x:c r="H30" s="11" t="str">
        <x:v>student</x:v>
      </x:c>
      <x:c r="I30" s="11" t="str">
        <x:v>student</x:v>
      </x:c>
      <x:c r="J30" s="11" t="str">
        <x:v>suggested</x:v>
      </x:c>
      <x:c r="K30" s="12" t="n">
        <x:v>0.96</x:v>
      </x:c>
      <x:c r="L30" s="11" t="str">
        <x:v>exact</x:v>
      </x:c>
      <x:c r="M30" s="11" t="str">
        <x:v>Canonical target, transform, and entity scope match ground truth.</x:v>
      </x:c>
      <x:c r="N30" s="11"/>
    </x:row>
    <x:row r="31">
      <x:c r="A31" s="11" t="str">
        <x:v>UCI Portuguese</x:v>
      </x:c>
      <x:c r="B31" s="11" t="str">
        <x:v>student-por.csv</x:v>
      </x:c>
      <x:c r="C31" s="11" t="str">
        <x:v>absences</x:v>
      </x:c>
      <x:c r="D31" s="11" t="str">
        <x:v>absence_count</x:v>
      </x:c>
      <x:c r="E31" s="11" t="str">
        <x:v>absence_count</x:v>
      </x:c>
      <x:c r="F31" s="11" t="str">
        <x:v>cast_int</x:v>
      </x:c>
      <x:c r="G31" s="11" t="str">
        <x:v>cast_int</x:v>
      </x:c>
      <x:c r="H31" s="11" t="str">
        <x:v>enrollment</x:v>
      </x:c>
      <x:c r="I31" s="11" t="str">
        <x:v>enrollment</x:v>
      </x:c>
      <x:c r="J31" s="11" t="str">
        <x:v>suggested</x:v>
      </x:c>
      <x:c r="K31" s="12" t="n">
        <x:v>0.96</x:v>
      </x:c>
      <x:c r="L31" s="11" t="str">
        <x:v>exact</x:v>
      </x:c>
      <x:c r="M31" s="11" t="str">
        <x:v>Canonical target, transform, and entity scope match ground truth.</x:v>
      </x:c>
      <x:c r="N31" s="11" t="str">
        <x:v>Detected UCI absences column — mapped to enrollment.absences (UCI-only field).</x:v>
      </x:c>
    </x:row>
    <x:row r="32">
      <x:c r="A32" s="11" t="str">
        <x:v>UCI Portuguese</x:v>
      </x:c>
      <x:c r="B32" s="11" t="str">
        <x:v>student-por.csv</x:v>
      </x:c>
      <x:c r="C32" s="11" t="str">
        <x:v>G1</x:v>
      </x:c>
      <x:c r="D32" s="11" t="str">
        <x:v>score_normalized</x:v>
      </x:c>
      <x:c r="E32" s="11" t="str">
        <x:v>score_normalized</x:v>
      </x:c>
      <x:c r="F32" s="11" t="str">
        <x:v>normalize_score</x:v>
      </x:c>
      <x:c r="G32" s="11" t="str">
        <x:v>normalize_score</x:v>
      </x:c>
      <x:c r="H32" s="11" t="str">
        <x:v>assessment</x:v>
      </x:c>
      <x:c r="I32" s="11" t="str">
        <x:v>assessment</x:v>
      </x:c>
      <x:c r="J32" s="11" t="str">
        <x:v>suggested</x:v>
      </x:c>
      <x:c r="K32" s="12" t="n">
        <x:v>0.98</x:v>
      </x:c>
      <x:c r="L32" s="11" t="str">
        <x:v>exact</x:v>
      </x:c>
      <x:c r="M32" s="11" t="str">
        <x:v>Canonical target, transform, and entity scope match ground truth.</x:v>
      </x:c>
      <x:c r="N32" s="11" t="str">
        <x:v>Detected UCI grade column "G1". This should later be expanded into assessment rows in transform logic.</x:v>
      </x:c>
    </x:row>
    <x:row r="33">
      <x:c r="A33" s="11" t="str">
        <x:v>UCI Portuguese</x:v>
      </x:c>
      <x:c r="B33" s="11" t="str">
        <x:v>student-por.csv</x:v>
      </x:c>
      <x:c r="C33" s="11" t="str">
        <x:v>G2</x:v>
      </x:c>
      <x:c r="D33" s="11" t="str">
        <x:v>score_normalized</x:v>
      </x:c>
      <x:c r="E33" s="11" t="str">
        <x:v>score_normalized</x:v>
      </x:c>
      <x:c r="F33" s="11" t="str">
        <x:v>normalize_score</x:v>
      </x:c>
      <x:c r="G33" s="11" t="str">
        <x:v>normalize_score</x:v>
      </x:c>
      <x:c r="H33" s="11" t="str">
        <x:v>assessment</x:v>
      </x:c>
      <x:c r="I33" s="11" t="str">
        <x:v>assessment</x:v>
      </x:c>
      <x:c r="J33" s="11" t="str">
        <x:v>suggested</x:v>
      </x:c>
      <x:c r="K33" s="12" t="n">
        <x:v>0.98</x:v>
      </x:c>
      <x:c r="L33" s="11" t="str">
        <x:v>exact</x:v>
      </x:c>
      <x:c r="M33" s="11" t="str">
        <x:v>Canonical target, transform, and entity scope match ground truth.</x:v>
      </x:c>
      <x:c r="N33" s="11" t="str">
        <x:v>Detected UCI grade column "G2". This should later be expanded into assessment rows in transform logic.</x:v>
      </x:c>
    </x:row>
    <x:row r="34">
      <x:c r="A34" s="11" t="str">
        <x:v>UCI Portuguese</x:v>
      </x:c>
      <x:c r="B34" s="11" t="str">
        <x:v>student-por.csv</x:v>
      </x:c>
      <x:c r="C34" s="11" t="str">
        <x:v>G3</x:v>
      </x:c>
      <x:c r="D34" s="11" t="str">
        <x:v>score_normalized</x:v>
      </x:c>
      <x:c r="E34" s="11" t="str">
        <x:v>score_normalized</x:v>
      </x:c>
      <x:c r="F34" s="11" t="str">
        <x:v>normalize_score</x:v>
      </x:c>
      <x:c r="G34" s="11" t="str">
        <x:v>normalize_score</x:v>
      </x:c>
      <x:c r="H34" s="11" t="str">
        <x:v>assessment</x:v>
      </x:c>
      <x:c r="I34" s="11" t="str">
        <x:v>assessment</x:v>
      </x:c>
      <x:c r="J34" s="11" t="str">
        <x:v>suggested</x:v>
      </x:c>
      <x:c r="K34" s="12" t="n">
        <x:v>0.98</x:v>
      </x:c>
      <x:c r="L34" s="11" t="str">
        <x:v>exact</x:v>
      </x:c>
      <x:c r="M34" s="11" t="str">
        <x:v>Canonical target, transform, and entity scope match ground truth.</x:v>
      </x:c>
      <x:c r="N34" s="11" t="str">
        <x:v>Detected UCI grade column "G3". This should later be expanded into assessment rows in transform logic.</x:v>
      </x:c>
    </x:row>
    <x:row r="35">
      <x:c r="A35" s="15" t="str">
        <x:v>OULAD</x:v>
      </x:c>
      <x:c r="B35" s="15" t="str">
        <x:v>assessments.csv</x:v>
      </x:c>
      <x:c r="C35" s="15" t="str">
        <x:v>code_module</x:v>
      </x:c>
      <x:c r="D35" s="15" t="str">
        <x:v>course_id</x:v>
      </x:c>
      <x:c r="E35" s="15" t="str">
        <x:v>course_name</x:v>
      </x:c>
      <x:c r="F35" s="15" t="str">
        <x:v>direct_copy</x:v>
      </x:c>
      <x:c r="G35" s="15" t="str">
        <x:v>direct_copy</x:v>
      </x:c>
      <x:c r="H35" s="15" t="str">
        <x:v>course</x:v>
      </x:c>
      <x:c r="I35" s="15" t="str">
        <x:v>course</x:v>
      </x:c>
      <x:c r="J35" s="15" t="str">
        <x:v>needs_review</x:v>
      </x:c>
      <x:c r="K35" s="16" t="n">
        <x:v>0.78</x:v>
      </x:c>
      <x:c r="L35" s="15" t="str">
        <x:v>near_correct</x:v>
      </x:c>
      <x:c r="M35" s="15" t="str">
        <x:v>course_name preserves related course context, but the canonical target should be course_id.</x:v>
      </x:c>
      <x:c r="N35" s="15" t="str">
        <x:v>Detected OULAD module code. Review whether this should remain as course_name or be combined with course_run to derive course_id in transform logic.</x:v>
      </x:c>
    </x:row>
    <x:row r="36">
      <x:c r="A36" s="11" t="str">
        <x:v>OULAD</x:v>
      </x:c>
      <x:c r="B36" s="11" t="str">
        <x:v>assessments.csv</x:v>
      </x:c>
      <x:c r="C36" s="11" t="str">
        <x:v>code_presentation</x:v>
      </x:c>
      <x:c r="D36" s="11" t="str">
        <x:v>course_run</x:v>
      </x:c>
      <x:c r="E36" s="11" t="str">
        <x:v>course_run</x:v>
      </x:c>
      <x:c r="F36" s="11" t="str">
        <x:v>direct_copy</x:v>
      </x:c>
      <x:c r="G36" s="11" t="str">
        <x:v>direct_copy</x:v>
      </x:c>
      <x:c r="H36" s="11" t="str">
        <x:v>course</x:v>
      </x:c>
      <x:c r="I36" s="11" t="str">
        <x:v>course</x:v>
      </x:c>
      <x:c r="J36" s="11" t="str">
        <x:v>suggested</x:v>
      </x:c>
      <x:c r="K36" s="12" t="n">
        <x:v>0.97</x:v>
      </x:c>
      <x:c r="L36" s="11" t="str">
        <x:v>exact</x:v>
      </x:c>
      <x:c r="M36" s="11" t="str">
        <x:v>Canonical target, transform, and entity scope match ground truth.</x:v>
      </x:c>
      <x:c r="N36" s="11"/>
    </x:row>
    <x:row r="37">
      <x:c r="A37" s="11" t="str">
        <x:v>OULAD</x:v>
      </x:c>
      <x:c r="B37" s="11" t="str">
        <x:v>assessments.csv</x:v>
      </x:c>
      <x:c r="C37" s="11" t="str">
        <x:v>id_assessment</x:v>
      </x:c>
      <x:c r="D37" s="11" t="str">
        <x:v>assessment_id</x:v>
      </x:c>
      <x:c r="E37" s="11" t="str">
        <x:v>assessment_id</x:v>
      </x:c>
      <x:c r="F37" s="11" t="str">
        <x:v>direct_copy</x:v>
      </x:c>
      <x:c r="G37" s="11" t="str">
        <x:v>direct_copy</x:v>
      </x:c>
      <x:c r="H37" s="11" t="str">
        <x:v>assessment</x:v>
      </x:c>
      <x:c r="I37" s="11" t="str">
        <x:v>assessment</x:v>
      </x:c>
      <x:c r="J37" s="11" t="str">
        <x:v>suggested</x:v>
      </x:c>
      <x:c r="K37" s="12" t="n">
        <x:v>0.98</x:v>
      </x:c>
      <x:c r="L37" s="11" t="str">
        <x:v>exact</x:v>
      </x:c>
      <x:c r="M37" s="11" t="str">
        <x:v>Canonical target, transform, and entity scope match ground truth.</x:v>
      </x:c>
      <x:c r="N37" s="11"/>
    </x:row>
    <x:row r="38">
      <x:c r="A38" s="11" t="str">
        <x:v>OULAD</x:v>
      </x:c>
      <x:c r="B38" s="11" t="str">
        <x:v>assessments.csv</x:v>
      </x:c>
      <x:c r="C38" s="11" t="str">
        <x:v>assessment_type</x:v>
      </x:c>
      <x:c r="D38" s="11" t="str">
        <x:v>assessment_type</x:v>
      </x:c>
      <x:c r="E38" s="11" t="str">
        <x:v>assessment_type</x:v>
      </x:c>
      <x:c r="F38" s="11" t="str">
        <x:v>direct_copy</x:v>
      </x:c>
      <x:c r="G38" s="11" t="str">
        <x:v>direct_copy</x:v>
      </x:c>
      <x:c r="H38" s="11" t="str">
        <x:v>assessment</x:v>
      </x:c>
      <x:c r="I38" s="11" t="str">
        <x:v>assessment</x:v>
      </x:c>
      <x:c r="J38" s="11" t="str">
        <x:v>suggested</x:v>
      </x:c>
      <x:c r="K38" s="12" t="n">
        <x:v>0.97</x:v>
      </x:c>
      <x:c r="L38" s="11" t="str">
        <x:v>exact</x:v>
      </x:c>
      <x:c r="M38" s="11" t="str">
        <x:v>Canonical target, transform, and entity scope match ground truth.</x:v>
      </x:c>
      <x:c r="N38" s="11"/>
    </x:row>
    <x:row r="39">
      <x:c r="A39" s="17" t="str">
        <x:v>OULAD</x:v>
      </x:c>
      <x:c r="B39" s="17" t="str">
        <x:v>assessments.csv</x:v>
      </x:c>
      <x:c r="C39" s="17" t="str">
        <x:v>date</x:v>
      </x:c>
      <x:c r="D39" s="17" t="str">
        <x:v>assessment_due_day</x:v>
      </x:c>
      <x:c r="E39" s="17" t="str">
        <x:v>event_day</x:v>
      </x:c>
      <x:c r="F39" s="17" t="str">
        <x:v>cast_int</x:v>
      </x:c>
      <x:c r="G39" s="17" t="str">
        <x:v>cast_int</x:v>
      </x:c>
      <x:c r="H39" s="17" t="str">
        <x:v>assessment</x:v>
      </x:c>
      <x:c r="I39" s="17" t="str">
        <x:v>engagement_event</x:v>
      </x:c>
      <x:c r="J39" s="17" t="str">
        <x:v>suggested</x:v>
      </x:c>
      <x:c r="K39" s="18" t="n">
        <x:v>0.96</x:v>
      </x:c>
      <x:c r="L39" s="17" t="str">
        <x:v>wrong</x:v>
      </x:c>
      <x:c r="M39" s="17" t="str">
        <x:v>Wrong canonical target: expected assessment_due_day, received event_day.</x:v>
      </x:c>
      <x:c r="N39" s="17"/>
    </x:row>
    <x:row r="40">
      <x:c r="A40" s="11" t="str">
        <x:v>OULAD</x:v>
      </x:c>
      <x:c r="B40" s="11" t="str">
        <x:v>assessments.csv</x:v>
      </x:c>
      <x:c r="C40" s="11" t="str">
        <x:v>weight</x:v>
      </x:c>
      <x:c r="D40" s="11" t="str">
        <x:v>assessment_weight_pct</x:v>
      </x:c>
      <x:c r="E40" s="11" t="str">
        <x:v>assessment_weight_pct</x:v>
      </x:c>
      <x:c r="F40" s="11" t="str">
        <x:v>cast_float</x:v>
      </x:c>
      <x:c r="G40" s="11" t="str">
        <x:v>cast_float</x:v>
      </x:c>
      <x:c r="H40" s="11" t="str">
        <x:v>assessment</x:v>
      </x:c>
      <x:c r="I40" s="11" t="str">
        <x:v>assessment</x:v>
      </x:c>
      <x:c r="J40" s="11" t="str">
        <x:v>suggested</x:v>
      </x:c>
      <x:c r="K40" s="12" t="n">
        <x:v>0.96</x:v>
      </x:c>
      <x:c r="L40" s="11" t="str">
        <x:v>exact</x:v>
      </x:c>
      <x:c r="M40" s="11" t="str">
        <x:v>Canonical target, transform, and entity scope match ground truth.</x:v>
      </x:c>
      <x:c r="N40" s="11"/>
    </x:row>
    <x:row r="41">
      <x:c r="A41" s="15" t="str">
        <x:v>OULAD</x:v>
      </x:c>
      <x:c r="B41" s="15" t="str">
        <x:v>courses.csv</x:v>
      </x:c>
      <x:c r="C41" s="15" t="str">
        <x:v>code_module</x:v>
      </x:c>
      <x:c r="D41" s="15" t="str">
        <x:v>course_id</x:v>
      </x:c>
      <x:c r="E41" s="15" t="str">
        <x:v>course_name</x:v>
      </x:c>
      <x:c r="F41" s="15" t="str">
        <x:v>direct_copy</x:v>
      </x:c>
      <x:c r="G41" s="15" t="str">
        <x:v>direct_copy</x:v>
      </x:c>
      <x:c r="H41" s="15" t="str">
        <x:v>course</x:v>
      </x:c>
      <x:c r="I41" s="15" t="str">
        <x:v>course</x:v>
      </x:c>
      <x:c r="J41" s="15" t="str">
        <x:v>needs_review</x:v>
      </x:c>
      <x:c r="K41" s="16" t="n">
        <x:v>0.78</x:v>
      </x:c>
      <x:c r="L41" s="15" t="str">
        <x:v>near_correct</x:v>
      </x:c>
      <x:c r="M41" s="15" t="str">
        <x:v>course_name preserves related course context, but the canonical target should be course_id.</x:v>
      </x:c>
      <x:c r="N41" s="15" t="str">
        <x:v>Detected OULAD module code. Review whether this should remain as course_name or be combined with course_run to derive course_id in transform logic.</x:v>
      </x:c>
    </x:row>
    <x:row r="42">
      <x:c r="A42" s="11" t="str">
        <x:v>OULAD</x:v>
      </x:c>
      <x:c r="B42" s="11" t="str">
        <x:v>courses.csv</x:v>
      </x:c>
      <x:c r="C42" s="11" t="str">
        <x:v>code_presentation</x:v>
      </x:c>
      <x:c r="D42" s="11" t="str">
        <x:v>course_run</x:v>
      </x:c>
      <x:c r="E42" s="11" t="str">
        <x:v>course_run</x:v>
      </x:c>
      <x:c r="F42" s="11" t="str">
        <x:v>direct_copy</x:v>
      </x:c>
      <x:c r="G42" s="11" t="str">
        <x:v>direct_copy</x:v>
      </x:c>
      <x:c r="H42" s="11" t="str">
        <x:v>course</x:v>
      </x:c>
      <x:c r="I42" s="11" t="str">
        <x:v>course</x:v>
      </x:c>
      <x:c r="J42" s="11" t="str">
        <x:v>suggested</x:v>
      </x:c>
      <x:c r="K42" s="12" t="n">
        <x:v>0.97</x:v>
      </x:c>
      <x:c r="L42" s="11" t="str">
        <x:v>exact</x:v>
      </x:c>
      <x:c r="M42" s="11" t="str">
        <x:v>Canonical target, transform, and entity scope match ground truth.</x:v>
      </x:c>
      <x:c r="N42" s="11"/>
    </x:row>
    <x:row r="43">
      <x:c r="A43" s="17" t="str">
        <x:v>OULAD</x:v>
      </x:c>
      <x:c r="B43" s="17" t="str">
        <x:v>courses.csv</x:v>
      </x:c>
      <x:c r="C43" s="17" t="str">
        <x:v>module_presentation_length</x:v>
      </x:c>
      <x:c r="D43" s="17" t="str">
        <x:v>course_duration_days</x:v>
      </x:c>
      <x:c r="E43" s="17" t="str">
        <x:v>course_run</x:v>
      </x:c>
      <x:c r="F43" s="17" t="str">
        <x:v>cast_int</x:v>
      </x:c>
      <x:c r="G43" s="17" t="str">
        <x:v>direct_copy</x:v>
      </x:c>
      <x:c r="H43" s="17" t="str">
        <x:v>course</x:v>
      </x:c>
      <x:c r="I43" s="17" t="str">
        <x:v>course</x:v>
      </x:c>
      <x:c r="J43" s="17" t="str">
        <x:v>needs_review</x:v>
      </x:c>
      <x:c r="K43" s="18" t="n">
        <x:v>0.72</x:v>
      </x:c>
      <x:c r="L43" s="17" t="str">
        <x:v>wrong</x:v>
      </x:c>
      <x:c r="M43" s="17" t="str">
        <x:v>Wrong canonical target: expected course_duration_days, received course_run.</x:v>
      </x:c>
      <x:c r="N43" s="17" t="str">
        <x:v>Low-confidence match. Please review before confirmation.</x:v>
      </x:c>
    </x:row>
    <x:row r="44">
      <x:c r="A44" s="11" t="str">
        <x:v>OULAD</x:v>
      </x:c>
      <x:c r="B44" s="11" t="str">
        <x:v>studentAssessment.csv</x:v>
      </x:c>
      <x:c r="C44" s="11" t="str">
        <x:v>id_assessment</x:v>
      </x:c>
      <x:c r="D44" s="11" t="str">
        <x:v>assessment_id</x:v>
      </x:c>
      <x:c r="E44" s="11" t="str">
        <x:v>assessment_id</x:v>
      </x:c>
      <x:c r="F44" s="11" t="str">
        <x:v>direct_copy</x:v>
      </x:c>
      <x:c r="G44" s="11" t="str">
        <x:v>direct_copy</x:v>
      </x:c>
      <x:c r="H44" s="11" t="str">
        <x:v>assessment</x:v>
      </x:c>
      <x:c r="I44" s="11" t="str">
        <x:v>assessment</x:v>
      </x:c>
      <x:c r="J44" s="11" t="str">
        <x:v>suggested</x:v>
      </x:c>
      <x:c r="K44" s="12" t="n">
        <x:v>0.98</x:v>
      </x:c>
      <x:c r="L44" s="11" t="str">
        <x:v>exact</x:v>
      </x:c>
      <x:c r="M44" s="11" t="str">
        <x:v>Canonical target, transform, and entity scope match ground truth.</x:v>
      </x:c>
      <x:c r="N44" s="11"/>
    </x:row>
    <x:row r="45">
      <x:c r="A45" s="11" t="str">
        <x:v>OULAD</x:v>
      </x:c>
      <x:c r="B45" s="11" t="str">
        <x:v>studentAssessment.csv</x:v>
      </x:c>
      <x:c r="C45" s="11" t="str">
        <x:v>id_student</x:v>
      </x:c>
      <x:c r="D45" s="11" t="str">
        <x:v>student_id</x:v>
      </x:c>
      <x:c r="E45" s="11" t="str">
        <x:v>student_id</x:v>
      </x:c>
      <x:c r="F45" s="11" t="str">
        <x:v>direct_copy</x:v>
      </x:c>
      <x:c r="G45" s="11" t="str">
        <x:v>direct_copy</x:v>
      </x:c>
      <x:c r="H45" s="11" t="str">
        <x:v>student</x:v>
      </x:c>
      <x:c r="I45" s="11" t="str">
        <x:v>student</x:v>
      </x:c>
      <x:c r="J45" s="11" t="str">
        <x:v>suggested</x:v>
      </x:c>
      <x:c r="K45" s="12" t="n">
        <x:v>0.99</x:v>
      </x:c>
      <x:c r="L45" s="11" t="str">
        <x:v>exact</x:v>
      </x:c>
      <x:c r="M45" s="11" t="str">
        <x:v>Canonical target, transform, and entity scope match ground truth.</x:v>
      </x:c>
      <x:c r="N45" s="11"/>
    </x:row>
    <x:row r="46">
      <x:c r="A46" s="11" t="str">
        <x:v>OULAD</x:v>
      </x:c>
      <x:c r="B46" s="11" t="str">
        <x:v>studentAssessment.csv</x:v>
      </x:c>
      <x:c r="C46" s="11" t="str">
        <x:v>date_submitted</x:v>
      </x:c>
      <x:c r="D46" s="11" t="str">
        <x:v>submission_day</x:v>
      </x:c>
      <x:c r="E46" s="11" t="str">
        <x:v>submission_day</x:v>
      </x:c>
      <x:c r="F46" s="11" t="str">
        <x:v>cast_int</x:v>
      </x:c>
      <x:c r="G46" s="11" t="str">
        <x:v>cast_int</x:v>
      </x:c>
      <x:c r="H46" s="11" t="str">
        <x:v>assessment</x:v>
      </x:c>
      <x:c r="I46" s="11" t="str">
        <x:v>assessment</x:v>
      </x:c>
      <x:c r="J46" s="11" t="str">
        <x:v>suggested</x:v>
      </x:c>
      <x:c r="K46" s="12" t="n">
        <x:v>0.97</x:v>
      </x:c>
      <x:c r="L46" s="11" t="str">
        <x:v>exact</x:v>
      </x:c>
      <x:c r="M46" s="11" t="str">
        <x:v>Canonical target, transform, and entity scope match ground truth.</x:v>
      </x:c>
      <x:c r="N46" s="11"/>
    </x:row>
    <x:row r="47">
      <x:c r="A47" s="11" t="str">
        <x:v>OULAD</x:v>
      </x:c>
      <x:c r="B47" s="11" t="str">
        <x:v>studentAssessment.csv</x:v>
      </x:c>
      <x:c r="C47" s="11" t="str">
        <x:v>is_banked</x:v>
      </x:c>
      <x:c r="D47" s="11" t="str">
        <x:v>is_banked</x:v>
      </x:c>
      <x:c r="E47" s="11" t="str">
        <x:v>is_banked</x:v>
      </x:c>
      <x:c r="F47" s="11" t="str">
        <x:v>cast_boolean</x:v>
      </x:c>
      <x:c r="G47" s="11" t="str">
        <x:v>cast_boolean</x:v>
      </x:c>
      <x:c r="H47" s="11" t="str">
        <x:v>assessment</x:v>
      </x:c>
      <x:c r="I47" s="11" t="str">
        <x:v>assessment</x:v>
      </x:c>
      <x:c r="J47" s="11" t="str">
        <x:v>suggested</x:v>
      </x:c>
      <x:c r="K47" s="12" t="n">
        <x:v>0.97</x:v>
      </x:c>
      <x:c r="L47" s="11" t="str">
        <x:v>exact</x:v>
      </x:c>
      <x:c r="M47" s="11" t="str">
        <x:v>Canonical target, transform, and entity scope match ground truth.</x:v>
      </x:c>
      <x:c r="N47" s="11"/>
    </x:row>
    <x:row r="48">
      <x:c r="A48" s="11" t="str">
        <x:v>OULAD</x:v>
      </x:c>
      <x:c r="B48" s="11" t="str">
        <x:v>studentAssessment.csv</x:v>
      </x:c>
      <x:c r="C48" s="11" t="str">
        <x:v>score</x:v>
      </x:c>
      <x:c r="D48" s="11" t="str">
        <x:v>score_normalized</x:v>
      </x:c>
      <x:c r="E48" s="11" t="str">
        <x:v>score_normalized</x:v>
      </x:c>
      <x:c r="F48" s="11" t="str">
        <x:v>normalize_score</x:v>
      </x:c>
      <x:c r="G48" s="11" t="str">
        <x:v>normalize_score</x:v>
      </x:c>
      <x:c r="H48" s="11" t="str">
        <x:v>assessment</x:v>
      </x:c>
      <x:c r="I48" s="11" t="str">
        <x:v>assessment</x:v>
      </x:c>
      <x:c r="J48" s="11" t="str">
        <x:v>suggested</x:v>
      </x:c>
      <x:c r="K48" s="12" t="n">
        <x:v>0.97</x:v>
      </x:c>
      <x:c r="L48" s="11" t="str">
        <x:v>exact</x:v>
      </x:c>
      <x:c r="M48" s="11" t="str">
        <x:v>Canonical target, transform, and entity scope match ground truth.</x:v>
      </x:c>
      <x:c r="N48" s="11"/>
    </x:row>
    <x:row r="49">
      <x:c r="A49" s="15" t="str">
        <x:v>OULAD</x:v>
      </x:c>
      <x:c r="B49" s="15" t="str">
        <x:v>studentInfo.csv</x:v>
      </x:c>
      <x:c r="C49" s="15" t="str">
        <x:v>code_module</x:v>
      </x:c>
      <x:c r="D49" s="15" t="str">
        <x:v>course_id</x:v>
      </x:c>
      <x:c r="E49" s="15" t="str">
        <x:v>course_name</x:v>
      </x:c>
      <x:c r="F49" s="15" t="str">
        <x:v>direct_copy</x:v>
      </x:c>
      <x:c r="G49" s="15" t="str">
        <x:v>direct_copy</x:v>
      </x:c>
      <x:c r="H49" s="15" t="str">
        <x:v>course</x:v>
      </x:c>
      <x:c r="I49" s="15" t="str">
        <x:v>course</x:v>
      </x:c>
      <x:c r="J49" s="15" t="str">
        <x:v>needs_review</x:v>
      </x:c>
      <x:c r="K49" s="16" t="n">
        <x:v>0.78</x:v>
      </x:c>
      <x:c r="L49" s="15" t="str">
        <x:v>near_correct</x:v>
      </x:c>
      <x:c r="M49" s="15" t="str">
        <x:v>course_name preserves related course context, but the canonical target should be course_id.</x:v>
      </x:c>
      <x:c r="N49" s="15" t="str">
        <x:v>Detected OULAD module code. Review whether this should remain as course_name or be combined with course_run to derive course_id in transform logic.</x:v>
      </x:c>
    </x:row>
    <x:row r="50">
      <x:c r="A50" s="11" t="str">
        <x:v>OULAD</x:v>
      </x:c>
      <x:c r="B50" s="11" t="str">
        <x:v>studentInfo.csv</x:v>
      </x:c>
      <x:c r="C50" s="11" t="str">
        <x:v>code_presentation</x:v>
      </x:c>
      <x:c r="D50" s="11" t="str">
        <x:v>course_run</x:v>
      </x:c>
      <x:c r="E50" s="11" t="str">
        <x:v>course_run</x:v>
      </x:c>
      <x:c r="F50" s="11" t="str">
        <x:v>direct_copy</x:v>
      </x:c>
      <x:c r="G50" s="11" t="str">
        <x:v>direct_copy</x:v>
      </x:c>
      <x:c r="H50" s="11" t="str">
        <x:v>course</x:v>
      </x:c>
      <x:c r="I50" s="11" t="str">
        <x:v>course</x:v>
      </x:c>
      <x:c r="J50" s="11" t="str">
        <x:v>suggested</x:v>
      </x:c>
      <x:c r="K50" s="12" t="n">
        <x:v>0.97</x:v>
      </x:c>
      <x:c r="L50" s="11" t="str">
        <x:v>exact</x:v>
      </x:c>
      <x:c r="M50" s="11" t="str">
        <x:v>Canonical target, transform, and entity scope match ground truth.</x:v>
      </x:c>
      <x:c r="N50" s="11"/>
    </x:row>
    <x:row r="51">
      <x:c r="A51" s="11" t="str">
        <x:v>OULAD</x:v>
      </x:c>
      <x:c r="B51" s="11" t="str">
        <x:v>studentInfo.csv</x:v>
      </x:c>
      <x:c r="C51" s="11" t="str">
        <x:v>id_student</x:v>
      </x:c>
      <x:c r="D51" s="11" t="str">
        <x:v>student_id</x:v>
      </x:c>
      <x:c r="E51" s="11" t="str">
        <x:v>student_id</x:v>
      </x:c>
      <x:c r="F51" s="11" t="str">
        <x:v>direct_copy</x:v>
      </x:c>
      <x:c r="G51" s="11" t="str">
        <x:v>direct_copy</x:v>
      </x:c>
      <x:c r="H51" s="11" t="str">
        <x:v>student</x:v>
      </x:c>
      <x:c r="I51" s="11" t="str">
        <x:v>student</x:v>
      </x:c>
      <x:c r="J51" s="11" t="str">
        <x:v>suggested</x:v>
      </x:c>
      <x:c r="K51" s="12" t="n">
        <x:v>0.99</x:v>
      </x:c>
      <x:c r="L51" s="11" t="str">
        <x:v>exact</x:v>
      </x:c>
      <x:c r="M51" s="11" t="str">
        <x:v>Canonical target, transform, and entity scope match ground truth.</x:v>
      </x:c>
      <x:c r="N51" s="11"/>
    </x:row>
    <x:row r="52">
      <x:c r="A52" s="11" t="str">
        <x:v>OULAD</x:v>
      </x:c>
      <x:c r="B52" s="11" t="str">
        <x:v>studentInfo.csv</x:v>
      </x:c>
      <x:c r="C52" s="11" t="str">
        <x:v>gender</x:v>
      </x:c>
      <x:c r="D52" s="11" t="str">
        <x:v>gender</x:v>
      </x:c>
      <x:c r="E52" s="11" t="str">
        <x:v>gender</x:v>
      </x:c>
      <x:c r="F52" s="11" t="str">
        <x:v>normalize_gender</x:v>
      </x:c>
      <x:c r="G52" s="11" t="str">
        <x:v>normalize_gender</x:v>
      </x:c>
      <x:c r="H52" s="11" t="str">
        <x:v>student</x:v>
      </x:c>
      <x:c r="I52" s="11" t="str">
        <x:v>student</x:v>
      </x:c>
      <x:c r="J52" s="11" t="str">
        <x:v>suggested</x:v>
      </x:c>
      <x:c r="K52" s="12" t="n">
        <x:v>0.98</x:v>
      </x:c>
      <x:c r="L52" s="11" t="str">
        <x:v>exact</x:v>
      </x:c>
      <x:c r="M52" s="11" t="str">
        <x:v>Canonical target, transform, and entity scope match ground truth.</x:v>
      </x:c>
      <x:c r="N52" s="11"/>
    </x:row>
    <x:row r="53">
      <x:c r="A53" s="11" t="str">
        <x:v>OULAD</x:v>
      </x:c>
      <x:c r="B53" s="11" t="str">
        <x:v>studentInfo.csv</x:v>
      </x:c>
      <x:c r="C53" s="11" t="str">
        <x:v>region</x:v>
      </x:c>
      <x:c r="D53" s="11" t="str">
        <x:v>region</x:v>
      </x:c>
      <x:c r="E53" s="11" t="str">
        <x:v>region</x:v>
      </x:c>
      <x:c r="F53" s="11" t="str">
        <x:v>direct_copy</x:v>
      </x:c>
      <x:c r="G53" s="11" t="str">
        <x:v>direct_copy</x:v>
      </x:c>
      <x:c r="H53" s="11" t="str">
        <x:v>student</x:v>
      </x:c>
      <x:c r="I53" s="11" t="str">
        <x:v>student</x:v>
      </x:c>
      <x:c r="J53" s="11" t="str">
        <x:v>suggested</x:v>
      </x:c>
      <x:c r="K53" s="12" t="n">
        <x:v>0.97</x:v>
      </x:c>
      <x:c r="L53" s="11" t="str">
        <x:v>exact</x:v>
      </x:c>
      <x:c r="M53" s="11" t="str">
        <x:v>Canonical target, transform, and entity scope match ground truth.</x:v>
      </x:c>
      <x:c r="N53" s="11"/>
    </x:row>
    <x:row r="54">
      <x:c r="A54" s="11" t="str">
        <x:v>OULAD</x:v>
      </x:c>
      <x:c r="B54" s="11" t="str">
        <x:v>studentInfo.csv</x:v>
      </x:c>
      <x:c r="C54" s="11" t="str">
        <x:v>highest_education</x:v>
      </x:c>
      <x:c r="D54" s="11" t="str">
        <x:v>highest_education</x:v>
      </x:c>
      <x:c r="E54" s="11" t="str">
        <x:v>highest_education</x:v>
      </x:c>
      <x:c r="F54" s="11" t="str">
        <x:v>direct_copy</x:v>
      </x:c>
      <x:c r="G54" s="11" t="str">
        <x:v>direct_copy</x:v>
      </x:c>
      <x:c r="H54" s="11" t="str">
        <x:v>student</x:v>
      </x:c>
      <x:c r="I54" s="11" t="str">
        <x:v>student</x:v>
      </x:c>
      <x:c r="J54" s="11" t="str">
        <x:v>suggested</x:v>
      </x:c>
      <x:c r="K54" s="12" t="n">
        <x:v>0.97</x:v>
      </x:c>
      <x:c r="L54" s="11" t="str">
        <x:v>exact</x:v>
      </x:c>
      <x:c r="M54" s="11" t="str">
        <x:v>Canonical target, transform, and entity scope match ground truth.</x:v>
      </x:c>
      <x:c r="N54" s="11"/>
    </x:row>
    <x:row r="55">
      <x:c r="A55" s="11" t="str">
        <x:v>OULAD</x:v>
      </x:c>
      <x:c r="B55" s="11" t="str">
        <x:v>studentInfo.csv</x:v>
      </x:c>
      <x:c r="C55" s="11" t="str">
        <x:v>imd_band</x:v>
      </x:c>
      <x:c r="D55" s="11" t="str">
        <x:v>socioeconomic_band</x:v>
      </x:c>
      <x:c r="E55" s="11" t="str">
        <x:v>socioeconomic_band</x:v>
      </x:c>
      <x:c r="F55" s="11" t="str">
        <x:v>direct_copy</x:v>
      </x:c>
      <x:c r="G55" s="11" t="str">
        <x:v>direct_copy</x:v>
      </x:c>
      <x:c r="H55" s="11" t="str">
        <x:v>student</x:v>
      </x:c>
      <x:c r="I55" s="11" t="str">
        <x:v>student</x:v>
      </x:c>
      <x:c r="J55" s="11" t="str">
        <x:v>suggested</x:v>
      </x:c>
      <x:c r="K55" s="12" t="n">
        <x:v>0.97</x:v>
      </x:c>
      <x:c r="L55" s="11" t="str">
        <x:v>exact</x:v>
      </x:c>
      <x:c r="M55" s="11" t="str">
        <x:v>Canonical target, transform, and entity scope match ground truth.</x:v>
      </x:c>
      <x:c r="N55" s="11"/>
    </x:row>
    <x:row r="56">
      <x:c r="A56" s="11" t="str">
        <x:v>OULAD</x:v>
      </x:c>
      <x:c r="B56" s="11" t="str">
        <x:v>studentInfo.csv</x:v>
      </x:c>
      <x:c r="C56" s="11" t="str">
        <x:v>age_band</x:v>
      </x:c>
      <x:c r="D56" s="11" t="str">
        <x:v>age_group</x:v>
      </x:c>
      <x:c r="E56" s="11" t="str">
        <x:v>age_group</x:v>
      </x:c>
      <x:c r="F56" s="11" t="str">
        <x:v>direct_copy</x:v>
      </x:c>
      <x:c r="G56" s="11" t="str">
        <x:v>direct_copy</x:v>
      </x:c>
      <x:c r="H56" s="11" t="str">
        <x:v>student</x:v>
      </x:c>
      <x:c r="I56" s="11" t="str">
        <x:v>student</x:v>
      </x:c>
      <x:c r="J56" s="11" t="str">
        <x:v>suggested</x:v>
      </x:c>
      <x:c r="K56" s="12" t="n">
        <x:v>0.97</x:v>
      </x:c>
      <x:c r="L56" s="11" t="str">
        <x:v>exact</x:v>
      </x:c>
      <x:c r="M56" s="11" t="str">
        <x:v>Canonical target, transform, and entity scope match ground truth.</x:v>
      </x:c>
      <x:c r="N56" s="11"/>
    </x:row>
    <x:row r="57">
      <x:c r="A57" s="15" t="str">
        <x:v>OULAD</x:v>
      </x:c>
      <x:c r="B57" s="15" t="str">
        <x:v>studentInfo.csv</x:v>
      </x:c>
      <x:c r="C57" s="15" t="str">
        <x:v>num_of_prev_attempts</x:v>
      </x:c>
      <x:c r="D57" s="15" t="str">
        <x:v>previous_attempt_count</x:v>
      </x:c>
      <x:c r="E57" s="15" t="str">
        <x:v>previous_attempt_count</x:v>
      </x:c>
      <x:c r="F57" s="15" t="str">
        <x:v>cast_int</x:v>
      </x:c>
      <x:c r="G57" s="15" t="str">
        <x:v>cast_int</x:v>
      </x:c>
      <x:c r="H57" s="15" t="str">
        <x:v>enrollment</x:v>
      </x:c>
      <x:c r="I57" s="15" t="str">
        <x:v>student</x:v>
      </x:c>
      <x:c r="J57" s="15" t="str">
        <x:v>suggested</x:v>
      </x:c>
      <x:c r="K57" s="16" t="n">
        <x:v>0.95</x:v>
      </x:c>
      <x:c r="L57" s="15" t="str">
        <x:v>near_correct</x:v>
      </x:c>
      <x:c r="M57" s="15" t="str">
        <x:v>Correct target with scope student, expected enrollment.</x:v>
      </x:c>
      <x:c r="N57" s="15"/>
    </x:row>
    <x:row r="58">
      <x:c r="A58" s="15" t="str">
        <x:v>OULAD</x:v>
      </x:c>
      <x:c r="B58" s="15" t="str">
        <x:v>studentInfo.csv</x:v>
      </x:c>
      <x:c r="C58" s="15" t="str">
        <x:v>studied_credits</x:v>
      </x:c>
      <x:c r="D58" s="15" t="str">
        <x:v>study_load_credits</x:v>
      </x:c>
      <x:c r="E58" s="15" t="str">
        <x:v>study_load_credits</x:v>
      </x:c>
      <x:c r="F58" s="15" t="str">
        <x:v>cast_int</x:v>
      </x:c>
      <x:c r="G58" s="15" t="str">
        <x:v>cast_int</x:v>
      </x:c>
      <x:c r="H58" s="15" t="str">
        <x:v>enrollment</x:v>
      </x:c>
      <x:c r="I58" s="15" t="str">
        <x:v>course</x:v>
      </x:c>
      <x:c r="J58" s="15" t="str">
        <x:v>suggested</x:v>
      </x:c>
      <x:c r="K58" s="16" t="n">
        <x:v>0.96</x:v>
      </x:c>
      <x:c r="L58" s="15" t="str">
        <x:v>near_correct</x:v>
      </x:c>
      <x:c r="M58" s="15" t="str">
        <x:v>Correct target with scope course, expected enrollment.</x:v>
      </x:c>
      <x:c r="N58" s="15"/>
    </x:row>
    <x:row r="59">
      <x:c r="A59" s="11" t="str">
        <x:v>OULAD</x:v>
      </x:c>
      <x:c r="B59" s="11" t="str">
        <x:v>studentInfo.csv</x:v>
      </x:c>
      <x:c r="C59" s="11" t="str">
        <x:v>disability</x:v>
      </x:c>
      <x:c r="D59" s="11" t="str">
        <x:v>disability_flag</x:v>
      </x:c>
      <x:c r="E59" s="11" t="str">
        <x:v>disability_flag</x:v>
      </x:c>
      <x:c r="F59" s="11" t="str">
        <x:v>cast_boolean</x:v>
      </x:c>
      <x:c r="G59" s="11" t="str">
        <x:v>cast_boolean</x:v>
      </x:c>
      <x:c r="H59" s="11" t="str">
        <x:v>student</x:v>
      </x:c>
      <x:c r="I59" s="11" t="str">
        <x:v>student</x:v>
      </x:c>
      <x:c r="J59" s="11" t="str">
        <x:v>suggested</x:v>
      </x:c>
      <x:c r="K59" s="12" t="n">
        <x:v>0.97</x:v>
      </x:c>
      <x:c r="L59" s="11" t="str">
        <x:v>exact</x:v>
      </x:c>
      <x:c r="M59" s="11" t="str">
        <x:v>Canonical target, transform, and entity scope match ground truth.</x:v>
      </x:c>
      <x:c r="N59" s="11"/>
    </x:row>
    <x:row r="60">
      <x:c r="A60" s="15" t="str">
        <x:v>OULAD</x:v>
      </x:c>
      <x:c r="B60" s="15" t="str">
        <x:v>studentInfo.csv</x:v>
      </x:c>
      <x:c r="C60" s="15" t="str">
        <x:v>final_result</x:v>
      </x:c>
      <x:c r="D60" s="15" t="str">
        <x:v>final_outcome</x:v>
      </x:c>
      <x:c r="E60" s="15" t="str">
        <x:v>final_outcome</x:v>
      </x:c>
      <x:c r="F60" s="15" t="str">
        <x:v>direct_copy</x:v>
      </x:c>
      <x:c r="G60" s="15" t="str">
        <x:v>direct_copy</x:v>
      </x:c>
      <x:c r="H60" s="15" t="str">
        <x:v>enrollment</x:v>
      </x:c>
      <x:c r="I60" s="15" t="str">
        <x:v>student</x:v>
      </x:c>
      <x:c r="J60" s="15" t="str">
        <x:v>suggested</x:v>
      </x:c>
      <x:c r="K60" s="16" t="n">
        <x:v>0.98</x:v>
      </x:c>
      <x:c r="L60" s="15" t="str">
        <x:v>near_correct</x:v>
      </x:c>
      <x:c r="M60" s="15" t="str">
        <x:v>Correct target with scope student, expected enrollment.</x:v>
      </x:c>
      <x:c r="N60" s="15"/>
    </x:row>
    <x:row r="61">
      <x:c r="A61" s="15" t="str">
        <x:v>OULAD</x:v>
      </x:c>
      <x:c r="B61" s="15" t="str">
        <x:v>studentRegistration.csv</x:v>
      </x:c>
      <x:c r="C61" s="15" t="str">
        <x:v>code_module</x:v>
      </x:c>
      <x:c r="D61" s="15" t="str">
        <x:v>course_id</x:v>
      </x:c>
      <x:c r="E61" s="15" t="str">
        <x:v>course_name</x:v>
      </x:c>
      <x:c r="F61" s="15" t="str">
        <x:v>direct_copy</x:v>
      </x:c>
      <x:c r="G61" s="15" t="str">
        <x:v>direct_copy</x:v>
      </x:c>
      <x:c r="H61" s="15" t="str">
        <x:v>course</x:v>
      </x:c>
      <x:c r="I61" s="15" t="str">
        <x:v>course</x:v>
      </x:c>
      <x:c r="J61" s="15" t="str">
        <x:v>needs_review</x:v>
      </x:c>
      <x:c r="K61" s="16" t="n">
        <x:v>0.78</x:v>
      </x:c>
      <x:c r="L61" s="15" t="str">
        <x:v>near_correct</x:v>
      </x:c>
      <x:c r="M61" s="15" t="str">
        <x:v>course_name preserves related course context, but the canonical target should be course_id.</x:v>
      </x:c>
      <x:c r="N61" s="15" t="str">
        <x:v>Detected OULAD module code. Review whether this should remain as course_name or be combined with course_run to derive course_id in transform logic.</x:v>
      </x:c>
    </x:row>
    <x:row r="62">
      <x:c r="A62" s="11" t="str">
        <x:v>OULAD</x:v>
      </x:c>
      <x:c r="B62" s="11" t="str">
        <x:v>studentRegistration.csv</x:v>
      </x:c>
      <x:c r="C62" s="11" t="str">
        <x:v>code_presentation</x:v>
      </x:c>
      <x:c r="D62" s="11" t="str">
        <x:v>course_run</x:v>
      </x:c>
      <x:c r="E62" s="11" t="str">
        <x:v>course_run</x:v>
      </x:c>
      <x:c r="F62" s="11" t="str">
        <x:v>direct_copy</x:v>
      </x:c>
      <x:c r="G62" s="11" t="str">
        <x:v>direct_copy</x:v>
      </x:c>
      <x:c r="H62" s="11" t="str">
        <x:v>course</x:v>
      </x:c>
      <x:c r="I62" s="11" t="str">
        <x:v>course</x:v>
      </x:c>
      <x:c r="J62" s="11" t="str">
        <x:v>suggested</x:v>
      </x:c>
      <x:c r="K62" s="12" t="n">
        <x:v>0.97</x:v>
      </x:c>
      <x:c r="L62" s="11" t="str">
        <x:v>exact</x:v>
      </x:c>
      <x:c r="M62" s="11" t="str">
        <x:v>Canonical target, transform, and entity scope match ground truth.</x:v>
      </x:c>
      <x:c r="N62" s="11"/>
    </x:row>
    <x:row r="63">
      <x:c r="A63" s="11" t="str">
        <x:v>OULAD</x:v>
      </x:c>
      <x:c r="B63" s="11" t="str">
        <x:v>studentRegistration.csv</x:v>
      </x:c>
      <x:c r="C63" s="11" t="str">
        <x:v>id_student</x:v>
      </x:c>
      <x:c r="D63" s="11" t="str">
        <x:v>student_id</x:v>
      </x:c>
      <x:c r="E63" s="11" t="str">
        <x:v>student_id</x:v>
      </x:c>
      <x:c r="F63" s="11" t="str">
        <x:v>direct_copy</x:v>
      </x:c>
      <x:c r="G63" s="11" t="str">
        <x:v>direct_copy</x:v>
      </x:c>
      <x:c r="H63" s="11" t="str">
        <x:v>student</x:v>
      </x:c>
      <x:c r="I63" s="11" t="str">
        <x:v>student</x:v>
      </x:c>
      <x:c r="J63" s="11" t="str">
        <x:v>suggested</x:v>
      </x:c>
      <x:c r="K63" s="12" t="n">
        <x:v>0.99</x:v>
      </x:c>
      <x:c r="L63" s="11" t="str">
        <x:v>exact</x:v>
      </x:c>
      <x:c r="M63" s="11" t="str">
        <x:v>Canonical target, transform, and entity scope match ground truth.</x:v>
      </x:c>
      <x:c r="N63" s="11"/>
    </x:row>
    <x:row r="64">
      <x:c r="A64" s="15" t="str">
        <x:v>OULAD</x:v>
      </x:c>
      <x:c r="B64" s="15" t="str">
        <x:v>studentRegistration.csv</x:v>
      </x:c>
      <x:c r="C64" s="15" t="str">
        <x:v>date_registration</x:v>
      </x:c>
      <x:c r="D64" s="15" t="str">
        <x:v>enrollment_start_day</x:v>
      </x:c>
      <x:c r="E64" s="15" t="str">
        <x:v>enrollment_start_day</x:v>
      </x:c>
      <x:c r="F64" s="15" t="str">
        <x:v>cast_int</x:v>
      </x:c>
      <x:c r="G64" s="15" t="str">
        <x:v>cast_int</x:v>
      </x:c>
      <x:c r="H64" s="15" t="str">
        <x:v>enrollment</x:v>
      </x:c>
      <x:c r="I64" s="15" t="str">
        <x:v>course</x:v>
      </x:c>
      <x:c r="J64" s="15" t="str">
        <x:v>suggested</x:v>
      </x:c>
      <x:c r="K64" s="16" t="n">
        <x:v>1</x:v>
      </x:c>
      <x:c r="L64" s="15" t="str">
        <x:v>near_correct</x:v>
      </x:c>
      <x:c r="M64" s="15" t="str">
        <x:v>Correct target with scope course, expected enrollment.</x:v>
      </x:c>
      <x:c r="N64" s="15"/>
    </x:row>
    <x:row r="65">
      <x:c r="A65" s="15" t="str">
        <x:v>OULAD</x:v>
      </x:c>
      <x:c r="B65" s="15" t="str">
        <x:v>studentRegistration.csv</x:v>
      </x:c>
      <x:c r="C65" s="15" t="str">
        <x:v>date_unregistration</x:v>
      </x:c>
      <x:c r="D65" s="15" t="str">
        <x:v>enrollment_end_day</x:v>
      </x:c>
      <x:c r="E65" s="15" t="str">
        <x:v>enrollment_end_day</x:v>
      </x:c>
      <x:c r="F65" s="15" t="str">
        <x:v>cast_int</x:v>
      </x:c>
      <x:c r="G65" s="15" t="str">
        <x:v>cast_int</x:v>
      </x:c>
      <x:c r="H65" s="15" t="str">
        <x:v>enrollment</x:v>
      </x:c>
      <x:c r="I65" s="15" t="str">
        <x:v>course</x:v>
      </x:c>
      <x:c r="J65" s="15" t="str">
        <x:v>suggested</x:v>
      </x:c>
      <x:c r="K65" s="16" t="n">
        <x:v>1</x:v>
      </x:c>
      <x:c r="L65" s="15" t="str">
        <x:v>near_correct</x:v>
      </x:c>
      <x:c r="M65" s="15" t="str">
        <x:v>Correct target with scope course, expected enrollment.</x:v>
      </x:c>
      <x:c r="N65" s="15"/>
    </x:row>
    <x:row r="66">
      <x:c r="A66" s="15" t="str">
        <x:v>OULAD</x:v>
      </x:c>
      <x:c r="B66" s="15" t="str">
        <x:v>studentVle.csv</x:v>
      </x:c>
      <x:c r="C66" s="15" t="str">
        <x:v>code_module</x:v>
      </x:c>
      <x:c r="D66" s="15" t="str">
        <x:v>course_id</x:v>
      </x:c>
      <x:c r="E66" s="15" t="str">
        <x:v>course_name</x:v>
      </x:c>
      <x:c r="F66" s="15" t="str">
        <x:v>direct_copy</x:v>
      </x:c>
      <x:c r="G66" s="15" t="str">
        <x:v>direct_copy</x:v>
      </x:c>
      <x:c r="H66" s="15" t="str">
        <x:v>course</x:v>
      </x:c>
      <x:c r="I66" s="15" t="str">
        <x:v>course</x:v>
      </x:c>
      <x:c r="J66" s="15" t="str">
        <x:v>needs_review</x:v>
      </x:c>
      <x:c r="K66" s="16" t="n">
        <x:v>0.78</x:v>
      </x:c>
      <x:c r="L66" s="15" t="str">
        <x:v>near_correct</x:v>
      </x:c>
      <x:c r="M66" s="15" t="str">
        <x:v>course_name preserves related course context, but the canonical target should be course_id.</x:v>
      </x:c>
      <x:c r="N66" s="15" t="str">
        <x:v>Detected OULAD module code. Review whether this should remain as course_name or be combined with course_run to derive course_id in transform logic.</x:v>
      </x:c>
    </x:row>
    <x:row r="67">
      <x:c r="A67" s="11" t="str">
        <x:v>OULAD</x:v>
      </x:c>
      <x:c r="B67" s="11" t="str">
        <x:v>studentVle.csv</x:v>
      </x:c>
      <x:c r="C67" s="11" t="str">
        <x:v>code_presentation</x:v>
      </x:c>
      <x:c r="D67" s="11" t="str">
        <x:v>course_run</x:v>
      </x:c>
      <x:c r="E67" s="11" t="str">
        <x:v>course_run</x:v>
      </x:c>
      <x:c r="F67" s="11" t="str">
        <x:v>direct_copy</x:v>
      </x:c>
      <x:c r="G67" s="11" t="str">
        <x:v>direct_copy</x:v>
      </x:c>
      <x:c r="H67" s="11" t="str">
        <x:v>course</x:v>
      </x:c>
      <x:c r="I67" s="11" t="str">
        <x:v>course</x:v>
      </x:c>
      <x:c r="J67" s="11" t="str">
        <x:v>suggested</x:v>
      </x:c>
      <x:c r="K67" s="12" t="n">
        <x:v>0.97</x:v>
      </x:c>
      <x:c r="L67" s="11" t="str">
        <x:v>exact</x:v>
      </x:c>
      <x:c r="M67" s="11" t="str">
        <x:v>Canonical target, transform, and entity scope match ground truth.</x:v>
      </x:c>
      <x:c r="N67" s="11"/>
    </x:row>
    <x:row r="68">
      <x:c r="A68" s="11" t="str">
        <x:v>OULAD</x:v>
      </x:c>
      <x:c r="B68" s="11" t="str">
        <x:v>studentVle.csv</x:v>
      </x:c>
      <x:c r="C68" s="11" t="str">
        <x:v>id_student</x:v>
      </x:c>
      <x:c r="D68" s="11" t="str">
        <x:v>student_id</x:v>
      </x:c>
      <x:c r="E68" s="11" t="str">
        <x:v>student_id</x:v>
      </x:c>
      <x:c r="F68" s="11" t="str">
        <x:v>direct_copy</x:v>
      </x:c>
      <x:c r="G68" s="11" t="str">
        <x:v>direct_copy</x:v>
      </x:c>
      <x:c r="H68" s="11" t="str">
        <x:v>student</x:v>
      </x:c>
      <x:c r="I68" s="11" t="str">
        <x:v>student</x:v>
      </x:c>
      <x:c r="J68" s="11" t="str">
        <x:v>suggested</x:v>
      </x:c>
      <x:c r="K68" s="12" t="n">
        <x:v>0.99</x:v>
      </x:c>
      <x:c r="L68" s="11" t="str">
        <x:v>exact</x:v>
      </x:c>
      <x:c r="M68" s="11" t="str">
        <x:v>Canonical target, transform, and entity scope match ground truth.</x:v>
      </x:c>
      <x:c r="N68" s="11"/>
    </x:row>
    <x:row r="69">
      <x:c r="A69" s="11" t="str">
        <x:v>OULAD</x:v>
      </x:c>
      <x:c r="B69" s="11" t="str">
        <x:v>studentVle.csv</x:v>
      </x:c>
      <x:c r="C69" s="11" t="str">
        <x:v>id_site</x:v>
      </x:c>
      <x:c r="D69" s="11" t="str">
        <x:v>resource_id</x:v>
      </x:c>
      <x:c r="E69" s="11" t="str">
        <x:v>resource_id</x:v>
      </x:c>
      <x:c r="F69" s="11" t="str">
        <x:v>direct_copy</x:v>
      </x:c>
      <x:c r="G69" s="11" t="str">
        <x:v>direct_copy</x:v>
      </x:c>
      <x:c r="H69" s="11" t="str">
        <x:v>engagement_event</x:v>
      </x:c>
      <x:c r="I69" s="11" t="str">
        <x:v>engagement_event</x:v>
      </x:c>
      <x:c r="J69" s="11" t="str">
        <x:v>suggested</x:v>
      </x:c>
      <x:c r="K69" s="12" t="n">
        <x:v>0.96</x:v>
      </x:c>
      <x:c r="L69" s="11" t="str">
        <x:v>exact</x:v>
      </x:c>
      <x:c r="M69" s="11" t="str">
        <x:v>Canonical target, transform, and entity scope match ground truth.</x:v>
      </x:c>
      <x:c r="N69" s="11"/>
    </x:row>
    <x:row r="70">
      <x:c r="A70" s="11" t="str">
        <x:v>OULAD</x:v>
      </x:c>
      <x:c r="B70" s="11" t="str">
        <x:v>studentVle.csv</x:v>
      </x:c>
      <x:c r="C70" s="11" t="str">
        <x:v>date</x:v>
      </x:c>
      <x:c r="D70" s="11" t="str">
        <x:v>event_day</x:v>
      </x:c>
      <x:c r="E70" s="11" t="str">
        <x:v>event_day</x:v>
      </x:c>
      <x:c r="F70" s="11" t="str">
        <x:v>cast_int</x:v>
      </x:c>
      <x:c r="G70" s="11" t="str">
        <x:v>cast_int</x:v>
      </x:c>
      <x:c r="H70" s="11" t="str">
        <x:v>engagement_event</x:v>
      </x:c>
      <x:c r="I70" s="11" t="str">
        <x:v>engagement_event</x:v>
      </x:c>
      <x:c r="J70" s="11" t="str">
        <x:v>suggested</x:v>
      </x:c>
      <x:c r="K70" s="12" t="n">
        <x:v>0.96</x:v>
      </x:c>
      <x:c r="L70" s="11" t="str">
        <x:v>exact</x:v>
      </x:c>
      <x:c r="M70" s="11" t="str">
        <x:v>Canonical target, transform, and entity scope match ground truth.</x:v>
      </x:c>
      <x:c r="N70" s="11"/>
    </x:row>
    <x:row r="71">
      <x:c r="A71" s="11" t="str">
        <x:v>OULAD</x:v>
      </x:c>
      <x:c r="B71" s="11" t="str">
        <x:v>studentVle.csv</x:v>
      </x:c>
      <x:c r="C71" s="11" t="str">
        <x:v>sum_click</x:v>
      </x:c>
      <x:c r="D71" s="11" t="str">
        <x:v>engagement_count</x:v>
      </x:c>
      <x:c r="E71" s="11" t="str">
        <x:v>engagement_count</x:v>
      </x:c>
      <x:c r="F71" s="11" t="str">
        <x:v>cast_int</x:v>
      </x:c>
      <x:c r="G71" s="11" t="str">
        <x:v>cast_int</x:v>
      </x:c>
      <x:c r="H71" s="11" t="str">
        <x:v>engagement_event</x:v>
      </x:c>
      <x:c r="I71" s="11" t="str">
        <x:v>engagement_event</x:v>
      </x:c>
      <x:c r="J71" s="11" t="str">
        <x:v>suggested</x:v>
      </x:c>
      <x:c r="K71" s="12" t="n">
        <x:v>0.97</x:v>
      </x:c>
      <x:c r="L71" s="11" t="str">
        <x:v>exact</x:v>
      </x:c>
      <x:c r="M71" s="11" t="str">
        <x:v>Canonical target, transform, and entity scope match ground truth.</x:v>
      </x:c>
      <x:c r="N71" s="11"/>
    </x:row>
    <x:row r="72">
      <x:c r="A72" s="11" t="str">
        <x:v>OULAD</x:v>
      </x:c>
      <x:c r="B72" s="11" t="str">
        <x:v>vle.csv</x:v>
      </x:c>
      <x:c r="C72" s="11" t="str">
        <x:v>id_site</x:v>
      </x:c>
      <x:c r="D72" s="11" t="str">
        <x:v>resource_id</x:v>
      </x:c>
      <x:c r="E72" s="11" t="str">
        <x:v>resource_id</x:v>
      </x:c>
      <x:c r="F72" s="11" t="str">
        <x:v>direct_copy</x:v>
      </x:c>
      <x:c r="G72" s="11" t="str">
        <x:v>direct_copy</x:v>
      </x:c>
      <x:c r="H72" s="11" t="str">
        <x:v>engagement_event</x:v>
      </x:c>
      <x:c r="I72" s="11" t="str">
        <x:v>engagement_event</x:v>
      </x:c>
      <x:c r="J72" s="11" t="str">
        <x:v>suggested</x:v>
      </x:c>
      <x:c r="K72" s="12" t="n">
        <x:v>0.96</x:v>
      </x:c>
      <x:c r="L72" s="11" t="str">
        <x:v>exact</x:v>
      </x:c>
      <x:c r="M72" s="11" t="str">
        <x:v>Canonical target, transform, and entity scope match ground truth.</x:v>
      </x:c>
      <x:c r="N72" s="11"/>
    </x:row>
    <x:row r="73">
      <x:c r="A73" s="15" t="str">
        <x:v>OULAD</x:v>
      </x:c>
      <x:c r="B73" s="15" t="str">
        <x:v>vle.csv</x:v>
      </x:c>
      <x:c r="C73" s="15" t="str">
        <x:v>code_module</x:v>
      </x:c>
      <x:c r="D73" s="15" t="str">
        <x:v>course_id</x:v>
      </x:c>
      <x:c r="E73" s="15" t="str">
        <x:v>course_name</x:v>
      </x:c>
      <x:c r="F73" s="15" t="str">
        <x:v>direct_copy</x:v>
      </x:c>
      <x:c r="G73" s="15" t="str">
        <x:v>direct_copy</x:v>
      </x:c>
      <x:c r="H73" s="15" t="str">
        <x:v>course</x:v>
      </x:c>
      <x:c r="I73" s="15" t="str">
        <x:v>course</x:v>
      </x:c>
      <x:c r="J73" s="15" t="str">
        <x:v>needs_review</x:v>
      </x:c>
      <x:c r="K73" s="16" t="n">
        <x:v>0.78</x:v>
      </x:c>
      <x:c r="L73" s="15" t="str">
        <x:v>near_correct</x:v>
      </x:c>
      <x:c r="M73" s="15" t="str">
        <x:v>course_name preserves related course context, but the canonical target should be course_id.</x:v>
      </x:c>
      <x:c r="N73" s="15" t="str">
        <x:v>Detected OULAD module code. Review whether this should remain as course_name or be combined with course_run to derive course_id in transform logic.</x:v>
      </x:c>
    </x:row>
    <x:row r="74">
      <x:c r="A74" s="11" t="str">
        <x:v>OULAD</x:v>
      </x:c>
      <x:c r="B74" s="11" t="str">
        <x:v>vle.csv</x:v>
      </x:c>
      <x:c r="C74" s="11" t="str">
        <x:v>code_presentation</x:v>
      </x:c>
      <x:c r="D74" s="11" t="str">
        <x:v>course_run</x:v>
      </x:c>
      <x:c r="E74" s="11" t="str">
        <x:v>course_run</x:v>
      </x:c>
      <x:c r="F74" s="11" t="str">
        <x:v>direct_copy</x:v>
      </x:c>
      <x:c r="G74" s="11" t="str">
        <x:v>direct_copy</x:v>
      </x:c>
      <x:c r="H74" s="11" t="str">
        <x:v>course</x:v>
      </x:c>
      <x:c r="I74" s="11" t="str">
        <x:v>course</x:v>
      </x:c>
      <x:c r="J74" s="11" t="str">
        <x:v>suggested</x:v>
      </x:c>
      <x:c r="K74" s="12" t="n">
        <x:v>0.97</x:v>
      </x:c>
      <x:c r="L74" s="11" t="str">
        <x:v>exact</x:v>
      </x:c>
      <x:c r="M74" s="11" t="str">
        <x:v>Canonical target, transform, and entity scope match ground truth.</x:v>
      </x:c>
      <x:c r="N74" s="11"/>
    </x:row>
    <x:row r="75">
      <x:c r="A75" s="11" t="str">
        <x:v>OULAD</x:v>
      </x:c>
      <x:c r="B75" s="11" t="str">
        <x:v>vle.csv</x:v>
      </x:c>
      <x:c r="C75" s="11" t="str">
        <x:v>activity_type</x:v>
      </x:c>
      <x:c r="D75" s="11" t="str">
        <x:v>resource_type</x:v>
      </x:c>
      <x:c r="E75" s="11" t="str">
        <x:v>resource_type</x:v>
      </x:c>
      <x:c r="F75" s="11" t="str">
        <x:v>direct_copy</x:v>
      </x:c>
      <x:c r="G75" s="11" t="str">
        <x:v>direct_copy</x:v>
      </x:c>
      <x:c r="H75" s="11" t="str">
        <x:v>engagement_event</x:v>
      </x:c>
      <x:c r="I75" s="11" t="str">
        <x:v>engagement_event</x:v>
      </x:c>
      <x:c r="J75" s="11" t="str">
        <x:v>suggested</x:v>
      </x:c>
      <x:c r="K75" s="12" t="n">
        <x:v>0.96</x:v>
      </x:c>
      <x:c r="L75" s="11" t="str">
        <x:v>exact</x:v>
      </x:c>
      <x:c r="M75" s="11" t="str">
        <x:v>Canonical target, transform, and entity scope match ground truth.</x:v>
      </x:c>
      <x:c r="N75" s="11"/>
    </x:row>
    <x:row r="76">
      <x:c r="A76" s="17" t="str">
        <x:v>OULAD</x:v>
      </x:c>
      <x:c r="B76" s="17" t="str">
        <x:v>vle.csv</x:v>
      </x:c>
      <x:c r="C76" s="17" t="str">
        <x:v>week_from</x:v>
      </x:c>
      <x:c r="D76" s="17" t="str">
        <x:v>available_from_week</x:v>
      </x:c>
      <x:c r="E76" s="17" t="str">
        <x:v>week_number</x:v>
      </x:c>
      <x:c r="F76" s="17" t="str">
        <x:v>cast_int</x:v>
      </x:c>
      <x:c r="G76" s="17" t="str">
        <x:v>direct_copy</x:v>
      </x:c>
      <x:c r="H76" s="17" t="str">
        <x:v>engagement_event</x:v>
      </x:c>
      <x:c r="I76" s="17" t="str">
        <x:v>engagement_event</x:v>
      </x:c>
      <x:c r="J76" s="17" t="str">
        <x:v>needs_review</x:v>
      </x:c>
      <x:c r="K76" s="18" t="n">
        <x:v>0.76</x:v>
      </x:c>
      <x:c r="L76" s="17" t="str">
        <x:v>wrong</x:v>
      </x:c>
      <x:c r="M76" s="17" t="str">
        <x:v>Wrong canonical target: expected available_from_week, received week_number.</x:v>
      </x:c>
      <x:c r="N76" s="17" t="str">
        <x:v>Low-confidence match. Please review before confirmation.</x:v>
      </x:c>
    </x:row>
    <x:row r="77">
      <x:c r="A77" s="17" t="str">
        <x:v>OULAD</x:v>
      </x:c>
      <x:c r="B77" s="17" t="str">
        <x:v>vle.csv</x:v>
      </x:c>
      <x:c r="C77" s="17" t="str">
        <x:v>week_to</x:v>
      </x:c>
      <x:c r="D77" s="17" t="str">
        <x:v>available_to_week</x:v>
      </x:c>
      <x:c r="E77" s="17" t="str">
        <x:v>week_number</x:v>
      </x:c>
      <x:c r="F77" s="17" t="str">
        <x:v>cast_int</x:v>
      </x:c>
      <x:c r="G77" s="17" t="str">
        <x:v>direct_copy</x:v>
      </x:c>
      <x:c r="H77" s="17" t="str">
        <x:v>engagement_event</x:v>
      </x:c>
      <x:c r="I77" s="17" t="str">
        <x:v>engagement_event</x:v>
      </x:c>
      <x:c r="J77" s="17" t="str">
        <x:v>needs_review</x:v>
      </x:c>
      <x:c r="K77" s="18" t="n">
        <x:v>0.76</x:v>
      </x:c>
      <x:c r="L77" s="17" t="str">
        <x:v>wrong</x:v>
      </x:c>
      <x:c r="M77" s="17" t="str">
        <x:v>Wrong canonical target: expected available_to_week, received week_number.</x:v>
      </x:c>
      <x:c r="N77" s="17" t="str">
        <x:v>Low-confidence match. Please review before confirmation.</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5" hidden="0" customWidth="1"/>
    <x:col min="2" max="2" width="100" hidden="0" customWidth="1"/>
  </x:cols>
  <x:sheetData>
    <x:row r="1">
      <x:c r="A1" s="49" t="str">
        <x:v>Methodology and Ground-Truth Rules</x:v>
      </x:c>
      <x:c r="B1" s="49"/>
      <x:c r="C1" s="49"/>
      <x:c r="D1" s="49"/>
      <x:c r="E1" s="49"/>
      <x:c r="F1" s="49"/>
    </x:row>
    <x:row r="2">
      <x:c r="A2" s="49"/>
      <x:c r="B2" s="49"/>
      <x:c r="C2" s="49"/>
      <x:c r="D2" s="49"/>
      <x:c r="E2" s="49"/>
      <x:c r="F2" s="49"/>
    </x:row>
    <x:row r="5">
      <x:c r="A5" s="26" t="str">
        <x:v>Item</x:v>
      </x:c>
      <x:c r="B5" s="26" t="str">
        <x:v>Definition / rule</x:v>
      </x:c>
    </x:row>
    <x:row r="6">
      <x:c r="A6" s="51" t="str">
        <x:v>Unit of analysis</x:v>
      </x:c>
      <x:c r="B6" s="51" t="str">
        <x:v>Each raw field is qualified by its source file. This prevents semantic collisions such as date in assessments.csv versus date in studentVle.csv.</x:v>
      </x:c>
    </x:row>
    <x:row r="7">
      <x:c r="A7" s="51" t="str">
        <x:v>Exact</x:v>
      </x:c>
      <x:c r="B7" s="51" t="str">
        <x:v>Canonical target, transformation, and entity scope all match the manually defined ground truth.</x:v>
      </x:c>
    </x:row>
    <x:row r="8">
      <x:c r="A8" s="51" t="str">
        <x:v>Near-correct</x:v>
      </x:c>
      <x:c r="B8" s="51" t="str">
        <x:v>The mapping preserves the related concept or correct target, but semantic precision, transformation, or entity scope requires correction.</x:v>
      </x:c>
    </x:row>
    <x:row r="9">
      <x:c r="A9" s="51" t="str">
        <x:v>Wrong</x:v>
      </x:c>
      <x:c r="B9" s="51" t="str">
        <x:v>The field is assigned to an incorrect canonical concept, or a non-mappable field is assigned a target.</x:v>
      </x:c>
    </x:row>
    <x:row r="10">
      <x:c r="A10" s="51" t="str">
        <x:v>Unknown</x:v>
      </x:c>
      <x:c r="B10" s="51" t="str">
        <x:v>A field with a valid target is left unmapped. This includes storage fields that are not exposed in the selectable canonical registry.</x:v>
      </x:c>
    </x:row>
    <x:row r="11">
      <x:c r="A11" s="51" t="str">
        <x:v>Correctly excluded</x:v>
      </x:c>
      <x:c r="B11" s="51" t="str">
        <x:v>No valid canonical target exists and the mapper leaves the field unmapped.</x:v>
      </x:c>
    </x:row>
    <x:row r="12">
      <x:c r="A12" s="51" t="str">
        <x:v>Exact accuracy</x:v>
      </x:c>
      <x:c r="B12" s="51" t="str">
        <x:v>Exact / mappable fields.</x:v>
      </x:c>
    </x:row>
    <x:row r="13">
      <x:c r="A13" s="51" t="str">
        <x:v>Usable mapping rate</x:v>
      </x:c>
      <x:c r="B13" s="51" t="str">
        <x:v>(Exact + Near-correct) / mappable fields. Near-correct still requires review.</x:v>
      </x:c>
    </x:row>
    <x:row r="14">
      <x:c r="A14" s="51" t="str">
        <x:v>Execution mode</x:v>
      </x:c>
      <x:c r="B14" s="51" t="str">
        <x:v>Cold-start deterministic mapper. Learned alias memory was unavailable and therefore excluded from this baseline.</x:v>
      </x:c>
    </x:row>
    <x:row r="15">
      <x:c r="A15" s="51" t="str">
        <x:v>Ground-truth basis</x:v>
      </x:c>
      <x:c r="B15" s="51" t="str">
        <x:v>Canonical field registry, Prisma storage schema, dataset-specific rules, source documentation encoded in column semantics, and the active transformation pipeline.</x:v>
      </x:c>
    </x:row>
    <x:row r="16">
      <x:c r="A16" s="51" t="str">
        <x:v>Interpretation caution</x:v>
      </x:c>
      <x:c r="B16" s="51" t="str">
        <x:v>Mapper confidence is an internal similarity score. It is not empirical accuracy and must be validated against ground truth.</x:v>
      </x:c>
    </x:row>
  </x:sheetData>
  <x:mergeCells>
    <x:mergeCell ref="A1:F2"/>
  </x:mergeCells>
  <x:pageMargins left="0.7" right="0.7" top="0.75" bottom="0.75" header="0.3" footer="0.3"/>
</x:worksheet>
</file>